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S2 Overview" sheetId="1" state="visible" r:id="rId1"/>
    <sheet xmlns:r="http://schemas.openxmlformats.org/officeDocument/2006/relationships" name="D1 HR Alignment" sheetId="2" state="visible" r:id="rId2"/>
    <sheet xmlns:r="http://schemas.openxmlformats.org/officeDocument/2006/relationships" name="D2 Work and Roles" sheetId="3" state="visible" r:id="rId3"/>
    <sheet xmlns:r="http://schemas.openxmlformats.org/officeDocument/2006/relationships" name="D3 Staffing Readiness" sheetId="4" state="visible" r:id="rId4"/>
    <sheet xmlns:r="http://schemas.openxmlformats.org/officeDocument/2006/relationships" name="Three Readings" sheetId="5" state="visible" r:id="rId5"/>
    <sheet xmlns:r="http://schemas.openxmlformats.org/officeDocument/2006/relationships" name="Inputs" sheetId="6" state="visible" r:id="rId6"/>
    <sheet xmlns:r="http://schemas.openxmlformats.org/officeDocument/2006/relationships" name="Work and gaps" sheetId="7" state="visible" r:id="rId7"/>
    <sheet xmlns:r="http://schemas.openxmlformats.org/officeDocument/2006/relationships" name="Employee allocations" sheetId="8" state="visible" r:id="rId8"/>
    <sheet xmlns:r="http://schemas.openxmlformats.org/officeDocument/2006/relationships" name="Four scenarios" sheetId="9" state="visible" r:id="rId9"/>
    <sheet xmlns:r="http://schemas.openxmlformats.org/officeDocument/2006/relationships" name="Worked example" sheetId="10" state="visible" r:id="rId10"/>
    <sheet xmlns:r="http://schemas.openxmlformats.org/officeDocument/2006/relationships" name="Job design" sheetId="11" state="visible" r:id="rId11"/>
    <sheet xmlns:r="http://schemas.openxmlformats.org/officeDocument/2006/relationships" name="Selection example" sheetId="12" state="visible" r:id="rId12"/>
    <sheet xmlns:r="http://schemas.openxmlformats.org/officeDocument/2006/relationships" name="Assumptions" sheetId="13" state="visible" r:id="rId13"/>
    <sheet xmlns:r="http://schemas.openxmlformats.org/officeDocument/2006/relationships" name="Case extracts" sheetId="14" state="visible" r:id="rId14"/>
  </sheets>
  <definedNames/>
</workbook>
</file>

<file path=xl/styles.xml><?xml version="1.0" encoding="utf-8"?>
<styleSheet xmlns="http://schemas.openxmlformats.org/spreadsheetml/2006/main">
  <numFmts count="1">
    <numFmt numFmtId="164" formatCode="#,##0.##"/>
  </numFmts>
  <fonts count="9">
    <font>
      <name val="Carlito"/>
      <sz val="11"/>
    </font>
    <font>
      <name val="EB Garamond"/>
      <b val="1"/>
      <color rgb="FFFFFFFF"/>
      <sz val="12"/>
    </font>
    <font>
      <name val="EB Garamond"/>
      <color rgb="FF172B4D"/>
      <sz val="12"/>
    </font>
    <font>
      <name val="EB Garamond"/>
      <b val="1"/>
      <color rgb="FF172B4D"/>
      <sz val="12"/>
    </font>
    <font>
      <name val="EB Garamond"/>
      <b val="1"/>
      <color rgb="FF172B4D"/>
      <sz val="17"/>
    </font>
    <font>
      <name val="EB Garamond"/>
      <color rgb="FF172B4D"/>
      <sz val="12"/>
    </font>
    <font>
      <name val="EB Garamond"/>
      <b val="1"/>
      <sz val="17"/>
    </font>
    <font>
      <name val="EB Garamond"/>
      <b val="1"/>
      <color rgb="FFFFFFFF"/>
      <sz val="12"/>
    </font>
    <font>
      <name val="EB Garamond"/>
      <b val="1"/>
      <color rgb="FF172B4D"/>
      <sz val="12"/>
    </font>
  </fonts>
  <fills count="6">
    <fill>
      <patternFill/>
    </fill>
    <fill>
      <patternFill patternType="gray125"/>
    </fill>
    <fill>
      <patternFill patternType="solid">
        <fgColor rgb="FF234A70"/>
      </patternFill>
    </fill>
    <fill>
      <patternFill patternType="solid">
        <fgColor rgb="FFFFF2CC"/>
      </patternFill>
    </fill>
    <fill>
      <patternFill patternType="solid">
        <fgColor rgb="FF234A70"/>
      </patternFill>
    </fill>
    <fill>
      <patternFill patternType="solid">
        <fgColor rgb="FFFFF2CC"/>
      </patternFill>
    </fill>
  </fills>
  <borders count="1">
    <border>
      <left/>
      <right/>
      <top/>
      <bottom/>
      <diagonal/>
    </border>
  </borders>
  <cellStyleXfs count="1">
    <xf numFmtId="0" fontId="0" fillId="0" borderId="0"/>
  </cellStyleXfs>
  <cellXfs count="3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0" fillId="3" borderId="0" pivotButton="0" quotePrefix="0" xfId="0"/>
    <xf numFmtId="0" fontId="2" fillId="0" borderId="0" pivotButton="0" quotePrefix="0" xfId="0"/>
    <xf numFmtId="0" fontId="3" fillId="2" borderId="0" applyAlignment="1" pivotButton="0" quotePrefix="0" xfId="0">
      <alignment wrapText="1"/>
    </xf>
    <xf numFmtId="0" fontId="2" fillId="0" borderId="0" applyAlignment="1" pivotButton="0" quotePrefix="0" xfId="0">
      <alignment vertical="center"/>
    </xf>
    <xf numFmtId="0" fontId="3" fillId="2" borderId="0" applyAlignment="1" pivotButton="0" quotePrefix="0" xfId="0">
      <alignment vertical="center" wrapText="1"/>
    </xf>
    <xf numFmtId="0" fontId="4" fillId="0" borderId="0" applyAlignment="1" pivotButton="0" quotePrefix="0" xfId="0">
      <alignment vertical="center"/>
    </xf>
    <xf numFmtId="0" fontId="2" fillId="3" borderId="0" pivotButton="0" quotePrefix="0" xfId="0"/>
    <xf numFmtId="0" fontId="2" fillId="3" borderId="0" applyAlignment="1" pivotButton="0" quotePrefix="0" xfId="0">
      <alignment vertical="center"/>
    </xf>
    <xf numFmtId="0" fontId="2" fillId="0" borderId="0" applyAlignment="1" pivotButton="0" quotePrefix="0" xfId="0">
      <alignment vertical="center" wrapText="1"/>
    </xf>
    <xf numFmtId="0" fontId="2" fillId="3" borderId="0" applyAlignment="1" pivotButton="0" quotePrefix="0" xfId="0">
      <alignment vertical="center" wrapText="1"/>
    </xf>
    <xf numFmtId="0" fontId="1" fillId="2" borderId="0" applyAlignment="1" pivotButton="0" quotePrefix="0" xfId="0">
      <alignment vertical="center" wrapText="1"/>
    </xf>
    <xf numFmtId="9" fontId="2" fillId="3" borderId="0" applyAlignment="1" pivotButton="0" quotePrefix="0" xfId="0">
      <alignment vertical="center"/>
    </xf>
    <xf numFmtId="3" fontId="2" fillId="3" borderId="0" applyAlignment="1" pivotButton="0" quotePrefix="0" xfId="0">
      <alignment vertical="center"/>
    </xf>
    <xf numFmtId="9" fontId="2" fillId="0" borderId="0" applyAlignment="1" pivotButton="0" quotePrefix="0" xfId="0">
      <alignment vertical="center"/>
    </xf>
    <xf numFmtId="3" fontId="2" fillId="0" borderId="0" applyAlignment="1" pivotButton="0" quotePrefix="0" xfId="0">
      <alignment vertical="center"/>
    </xf>
    <xf numFmtId="164" fontId="2" fillId="0" borderId="0" applyAlignment="1" pivotButton="0" quotePrefix="0" xfId="0">
      <alignment vertical="center"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4" borderId="0" applyAlignment="1" pivotButton="0" quotePrefix="0" xfId="0">
      <alignment vertical="top" wrapText="1"/>
    </xf>
    <xf numFmtId="0" fontId="8" fillId="0" borderId="0" applyAlignment="1" pivotButton="0" quotePrefix="0" xfId="0">
      <alignment vertical="top" wrapText="1"/>
    </xf>
    <xf numFmtId="0" fontId="5" fillId="5" borderId="0" applyAlignment="1" pivotButton="0" quotePrefix="0" xfId="0">
      <alignment vertical="top" wrapText="1"/>
    </xf>
    <xf numFmtId="9" fontId="2" fillId="3" borderId="0" applyAlignment="1" pivotButton="0" quotePrefix="0" xfId="0">
      <alignment vertical="center"/>
    </xf>
    <xf numFmtId="3" fontId="2" fillId="3" borderId="0" applyAlignment="1" pivotButton="0" quotePrefix="0" xfId="0">
      <alignment vertical="center"/>
    </xf>
    <xf numFmtId="3" fontId="2" fillId="0" borderId="0" applyAlignment="1" pivotButton="0" quotePrefix="0" xfId="0">
      <alignment vertical="center"/>
    </xf>
    <xf numFmtId="164" fontId="2" fillId="0" borderId="0" applyAlignment="1" pivotButton="0" quotePrefix="0" xfId="0">
      <alignment vertical="center" wrapText="1"/>
    </xf>
    <xf numFmtId="9" fontId="2" fillId="0" borderId="0" applyAlignment="1" pivotButton="0" quotePrefix="0" xfId="0">
      <alignment vertical="center"/>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OpenAI</author>
  </authors>
  <commentList>
    <comment ref="F5" authorId="0" shapeId="0">
      <text>
        <t>UF = uncommitted future work; UP = pilot work; UR = retained/coordination work. Do not allocate hours beyond available capacity.</t>
      </text>
    </comment>
    <comment ref="J5" authorId="0" shapeId="0">
      <text>
        <t>Release flags intentionally remain 0 because the case does not provide named employee release approvals. Enter 1 only when an authorized owner confirms hours and service cover.</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28</row>
      <rowOff>0</rowOff>
    </from>
    <ext cx="13335000" cy="3619500"/>
    <pic>
      <nvPicPr>
        <cNvPr id="1" name="cf0482de-ce35-41b2-a0e6-ed9c76d295a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28</row>
      <rowOff>0</rowOff>
    </from>
    <ext cx="13335000" cy="3619500"/>
    <pic>
      <nvPicPr>
        <cNvPr id="1" name="c29700c7-238d-435b-9714-99857614d41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28</row>
      <rowOff>0</rowOff>
    </from>
    <ext cx="13335000" cy="3619500"/>
    <pic>
      <nvPicPr>
        <cNvPr id="1" name="a317cd50-d4f3-4787-8d98-a865c0562b60"/>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13"/>
  <sheetViews>
    <sheetView showGridLines="0" workbookViewId="0">
      <pane xSplit="1" ySplit="8" topLeftCell="B9" activePane="bottomRight" state="frozen"/>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ht="32" customHeight="1">
      <c r="A1" s="20" t="inlineStr">
        <is>
          <t>Session 6 case workbook — three AS2 deliverables</t>
        </is>
      </c>
      <c r="B1" s="21" t="n"/>
      <c r="C1" s="21" t="n"/>
      <c r="D1" s="21" t="n"/>
      <c r="E1" s="21" t="n"/>
      <c r="F1" s="21" t="n"/>
    </row>
    <row r="2" ht="95" customHeight="1">
      <c r="A2" s="21" t="inlineStr">
        <is>
          <t>For each deliverable: retain Session 5 analysis, add Session 6 concepts, emulate the completed view and explain the readings.</t>
        </is>
      </c>
      <c r="B2" s="21" t="n"/>
      <c r="C2" s="21" t="n"/>
      <c r="D2" s="21" t="n"/>
      <c r="E2" s="21" t="n"/>
      <c r="F2" s="21" t="n"/>
    </row>
    <row r="3" ht="95" customHeight="1">
      <c r="A3" s="21" t="n"/>
      <c r="B3" s="21" t="n"/>
      <c r="C3" s="21" t="n"/>
      <c r="D3" s="21" t="n"/>
      <c r="E3" s="21" t="n"/>
      <c r="F3" s="21" t="n"/>
    </row>
    <row r="4" ht="50" customHeight="1">
      <c r="A4" s="22" t="inlineStr">
        <is>
          <t>AS2 Deliverable</t>
        </is>
      </c>
      <c r="B4" s="22" t="inlineStr">
        <is>
          <t>Session 5: carry forward</t>
        </is>
      </c>
      <c r="C4" s="22" t="inlineStr">
        <is>
          <t>Session 6: expected addition</t>
        </is>
      </c>
      <c r="D4" s="22" t="inlineStr">
        <is>
          <t>Completed example / screenshot</t>
        </is>
      </c>
      <c r="E4" s="22" t="inlineStr">
        <is>
          <t>Readings to explain</t>
        </is>
      </c>
      <c r="F4" s="22" t="inlineStr">
        <is>
          <t>Case paragraph IDs</t>
        </is>
      </c>
    </row>
    <row r="5" ht="95" customHeight="1">
      <c r="A5" s="21" t="inlineStr">
        <is>
          <t>1. Business alignment and SHRBP mandate</t>
        </is>
      </c>
      <c r="B5" s="21" t="inlineStr">
        <is>
          <t>Business priority, organizational arrangement, responsibilities, decision rights and coordination constraints.</t>
        </is>
      </c>
      <c r="C5" s="21" t="inlineStr">
        <is>
          <t>Translate arrangements into role purposes, reporting, accountable owners, bounded authority and escalation.</t>
        </is>
      </c>
      <c r="D5" s="21" t="inlineStr">
        <is>
          <t>D1 HR Alignment: completed output-to-role ownership table and screenshot, followed by your own table.</t>
        </is>
      </c>
      <c r="E5" s="21" t="inlineStr">
        <is>
          <t>Read 1 Mintzberg; Read 2 Dessler strategic HRM/workforce planning.</t>
        </is>
      </c>
      <c r="F5" s="21" t="inlineStr">
        <is>
          <t>P008–P014; P019–P021; P042–P044</t>
        </is>
      </c>
    </row>
    <row r="6" ht="95" customHeight="1">
      <c r="A6" s="21" t="inlineStr">
        <is>
          <t>2. Work design and workforce plan</t>
        </is>
      </c>
      <c r="B6" s="21" t="inlineStr">
        <is>
          <t>Workload, productive capacity, retained service obligations, demand–supply gaps and options.</t>
        </is>
      </c>
      <c r="C6" s="21" t="inlineStr">
        <is>
          <t>Explain job analysis, JD versus JS and rotation/enlargement/enrichment. Link three role designs to calculations.</t>
        </is>
      </c>
      <c r="D6" s="21" t="inlineStr">
        <is>
          <t>D2 Work and Roles: live role calculation example, JD/JS examples and screenshot; complete three role designs.</t>
        </is>
      </c>
      <c r="E6" s="21" t="inlineStr">
        <is>
          <t>Read 2 Dessler strategic HRM/workforce planning; Read 3 job analysis/design set.</t>
        </is>
      </c>
      <c r="F6" s="21" t="inlineStr">
        <is>
          <t>P023–P029; P050–P052; P063; P069–P071; P168; P183–P184; Q5.01–Q5.08</t>
        </is>
      </c>
    </row>
    <row r="7" ht="95" customHeight="1">
      <c r="A7" s="21" t="inlineStr">
        <is>
          <t>3. Attraction, selection and onboarding</t>
        </is>
      </c>
      <c r="B7" s="21" t="inlineStr">
        <is>
          <t>Capability gaps, internal availability, release constraints, vendor cost and hiring timing.</t>
        </is>
      </c>
      <c r="C7" s="21" t="inlineStr">
        <is>
          <t>Convert gaps into sourcing, relevant selection evidence, onboarding and ready-to-work checks.</t>
        </is>
      </c>
      <c r="D7" s="21" t="inlineStr">
        <is>
          <t>D3 Staffing Readiness: completed gap-to-readiness example and screenshot, followed by your own table.</t>
        </is>
      </c>
      <c r="E7" s="21" t="inlineStr">
        <is>
          <t>Read 3 job analysis/design set; revisit Read 2 for timing and costs.</t>
        </is>
      </c>
      <c r="F7" s="21" t="inlineStr">
        <is>
          <t>P027; P061–P064; P069–P071; P187–P190; P207–P208; Q5.07–Q5.08; Q6.01–Q6.07</t>
        </is>
      </c>
    </row>
    <row r="8" ht="95" customHeight="1">
      <c r="A8" s="21" t="n"/>
      <c r="B8" s="21" t="n"/>
      <c r="C8" s="21" t="n"/>
      <c r="D8" s="21" t="n"/>
      <c r="E8" s="21" t="n"/>
      <c r="F8" s="21" t="n"/>
    </row>
    <row r="9" ht="95" customHeight="1">
      <c r="A9" s="21" t="inlineStr">
        <is>
          <t>All-encompassing AS2 requirement</t>
        </is>
      </c>
      <c r="B9" s="21" t="inlineStr">
        <is>
          <t>Constitute an HR function whose mandate, roles, workforce calculations and staffing readiness support the same business alignment.</t>
        </is>
      </c>
      <c r="C9" s="21" t="n"/>
      <c r="D9" s="21" t="n"/>
      <c r="E9" s="21" t="n"/>
      <c r="F9" s="21" t="n"/>
    </row>
    <row r="10" ht="95" customHeight="1">
      <c r="A10" s="21" t="inlineStr">
        <is>
          <t>Five-step route</t>
        </is>
      </c>
      <c r="B10" s="21" t="inlineStr">
        <is>
          <t>1 Diagnose output/authority; 2 calculate demand/supply; 3 allocate and test constraints; 4 produce roles/staffing readiness; 5 challenge and defend.</t>
        </is>
      </c>
      <c r="C10" s="21" t="n"/>
      <c r="D10" s="21" t="n"/>
      <c r="E10" s="21" t="n"/>
      <c r="F10" s="21" t="n"/>
    </row>
    <row r="11" ht="95" customHeight="1">
      <c r="A11" s="21" t="inlineStr">
        <is>
          <t>Assessment readiness</t>
        </is>
      </c>
      <c r="B11" s="21" t="inlineStr">
        <is>
          <t>If attendance dips, faculty may execute preparatory AS2 /15. Otherwise use the analytical lab route. Final /10 on 19 October 2026; full /25 only if preparatory assessment not exercised.</t>
        </is>
      </c>
      <c r="C11" s="21" t="n"/>
      <c r="D11" s="21" t="n"/>
      <c r="E11" s="21" t="n"/>
      <c r="F11" s="21" t="n"/>
    </row>
    <row r="12" ht="95" customHeight="1">
      <c r="A12" s="21" t="inlineStr">
        <is>
          <t>Evidence</t>
        </is>
      </c>
      <c r="B12" s="21" t="inlineStr">
        <is>
          <t>Three core slides, one per deliverable, plus e-portfolio/app and mentor/accountability slides. Bring live Excel and named contribution evidence.</t>
        </is>
      </c>
      <c r="C12" s="21" t="n"/>
      <c r="D12" s="21" t="n"/>
      <c r="E12" s="21" t="n"/>
      <c r="F12" s="21" t="n"/>
    </row>
    <row r="13" ht="95" customHeight="1">
      <c r="A13" s="21" t="inlineStr">
        <is>
          <t>Assumptions</t>
        </is>
      </c>
      <c r="B13" s="21" t="inlineStr">
        <is>
          <t>Q5 is issued teaching input; Q6 and completed role/staffing examples are labelled proposals. Make justified assumptions where missing and record sources, owner and downside.</t>
        </is>
      </c>
      <c r="C13" s="21" t="n"/>
      <c r="D13" s="21" t="n"/>
      <c r="E13" s="21" t="n"/>
      <c r="F13" s="21" t="n"/>
    </row>
    <row r="14" ht="92" customHeight="1"/>
    <row r="15" ht="92" customHeight="1"/>
    <row r="16" ht="92" customHeight="1"/>
    <row r="17" ht="92" customHeight="1"/>
    <row r="18" ht="92" customHeight="1"/>
    <row r="19" ht="92" customHeight="1"/>
    <row r="20" ht="92" customHeight="1"/>
    <row r="21" ht="92"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9"/>
  <sheetViews>
    <sheetView showGridLines="0" workbookViewId="0">
      <pane xSplit="1" ySplit="8" topLeftCell="B9" activePane="bottomRight" state="frozen"/>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ht="32" customHeight="1">
      <c r="A1" s="20" t="inlineStr">
        <is>
          <t>Deliverable 1 — Business alignment and SHRBP mandate</t>
        </is>
      </c>
      <c r="B1" s="21" t="n"/>
      <c r="C1" s="21" t="n"/>
      <c r="D1" s="21" t="n"/>
      <c r="E1" s="21" t="n"/>
      <c r="F1" s="21" t="n"/>
    </row>
    <row r="2" ht="95" customHeight="1">
      <c r="A2" s="21" t="inlineStr">
        <is>
          <t>Illustrative completed view: emulate the method and justify your own decisions. Proposed owners/criteria/timing are assumptions, not approvals.</t>
        </is>
      </c>
      <c r="B2" s="21" t="n"/>
      <c r="C2" s="21" t="n"/>
      <c r="D2" s="21" t="n"/>
      <c r="E2" s="21" t="n"/>
      <c r="F2" s="21" t="n"/>
    </row>
    <row r="3" ht="95" customHeight="1">
      <c r="A3" s="21" t="inlineStr">
        <is>
          <t>Session 5 carry forward</t>
        </is>
      </c>
      <c r="B3" s="21" t="inlineStr">
        <is>
          <t>Organizational arrangement, work ownership and decision boundaries.</t>
        </is>
      </c>
      <c r="C3" s="21" t="n"/>
      <c r="D3" s="21" t="n"/>
      <c r="E3" s="21" t="n"/>
      <c r="F3" s="21" t="n"/>
    </row>
    <row r="4" ht="95" customHeight="1">
      <c r="A4" s="23" t="inlineStr">
        <is>
          <t>Session 6 expected</t>
        </is>
      </c>
      <c r="B4" s="21" t="inlineStr">
        <is>
          <t>Role purpose, reporting, responsibility and bounded decision rights.</t>
        </is>
      </c>
      <c r="C4" s="21" t="n"/>
      <c r="D4" s="21" t="n"/>
      <c r="E4" s="21" t="n"/>
      <c r="F4" s="21" t="n"/>
    </row>
    <row r="5" ht="95" customHeight="1">
      <c r="A5" s="21" t="inlineStr">
        <is>
          <t>Explain in class</t>
        </is>
      </c>
      <c r="B5" s="21" t="inlineStr">
        <is>
          <t>Explain why a reporting line or new HR department does not automatically authorize a product decision.</t>
        </is>
      </c>
      <c r="C5" s="21" t="n"/>
      <c r="D5" s="21" t="n"/>
      <c r="E5" s="21" t="n"/>
      <c r="F5" s="21" t="n"/>
    </row>
    <row r="6" ht="95" customHeight="1">
      <c r="A6" s="21" t="inlineStr">
        <is>
          <t>Readings / case IDs</t>
        </is>
      </c>
      <c r="B6" s="21" t="inlineStr">
        <is>
          <t>Read 1 Mintzberg; Read 2 Dessler. P008–P014; P042–P044; P027.</t>
        </is>
      </c>
      <c r="C6" s="21" t="n"/>
      <c r="D6" s="21" t="n"/>
      <c r="E6" s="21" t="n"/>
      <c r="F6" s="21" t="n"/>
    </row>
    <row r="7" ht="95" customHeight="1">
      <c r="A7" s="21" t="n"/>
      <c r="B7" s="21" t="n"/>
      <c r="C7" s="21" t="n"/>
      <c r="D7" s="21" t="n"/>
      <c r="E7" s="21" t="n"/>
      <c r="F7" s="21" t="n"/>
    </row>
    <row r="8" ht="50" customHeight="1">
      <c r="A8" s="22" t="inlineStr">
        <is>
          <t>Business output / source</t>
        </is>
      </c>
      <c r="B8" s="22" t="inlineStr">
        <is>
          <t>Work / role</t>
        </is>
      </c>
      <c r="C8" s="22" t="inlineStr">
        <is>
          <t>Accountable owner</t>
        </is>
      </c>
      <c r="D8" s="22" t="inlineStr">
        <is>
          <t>Role authority / reporting</t>
        </is>
      </c>
      <c r="E8" s="22" t="inlineStr">
        <is>
          <t>Escalation / approval</t>
        </is>
      </c>
      <c r="F8" s="22" t="inlineStr">
        <is>
          <t>SHRBP contribution</t>
        </is>
      </c>
    </row>
    <row r="9" ht="95" customHeight="1">
      <c r="A9" s="21" t="inlineStr">
        <is>
          <t>Pilot delivered while existing services continue; P008–P010</t>
        </is>
      </c>
      <c r="B9" s="21" t="inlineStr">
        <is>
          <t>Delivery coordination; Kabir / delivery role</t>
        </is>
      </c>
      <c r="C9" s="21" t="inlineStr">
        <is>
          <t>Propose Kabir for pilot coordination; Rao for cross-functional resolution</t>
        </is>
      </c>
      <c r="D9" s="21" t="inlineStr">
        <is>
          <t>Coordinate agreed work; no assumed power over pricing, consent or major architecture exceptions</t>
        </is>
      </c>
      <c r="E9" s="21" t="inlineStr">
        <is>
          <t>Name authorized technical/commercial owners; propose a response clock subject to acceptance</t>
        </is>
      </c>
      <c r="F9" s="21" t="inlineStr">
        <is>
          <t>Translate mandate into duties, workload, reporting and people responsibilities.</t>
        </is>
      </c>
    </row>
    <row r="10" ht="95" customHeight="1">
      <c r="A10" s="21" t="inlineStr">
        <is>
          <t>One authoritative customer-data output; P024; Q5.04</t>
        </is>
      </c>
      <c r="B10" s="21" t="inlineStr">
        <is>
          <t>Customer-data preparation specialist</t>
        </is>
      </c>
      <c r="C10" s="21" t="inlineStr">
        <is>
          <t>Student proposal: operating owner plus named product/regional receiver</t>
        </is>
      </c>
      <c r="D10" s="21" t="inlineStr">
        <is>
          <t>Prepare and validate shared output; internal release must be authorized</t>
        </is>
      </c>
      <c r="E10" s="21" t="inlineStr">
        <is>
          <t>Receiving owners must accept common output before duplicate is excluded</t>
        </is>
      </c>
      <c r="F10" s="21" t="inlineStr">
        <is>
          <t>Define JD/JS and confirm work ownership and capacity consequences.</t>
        </is>
      </c>
    </row>
    <row r="11" ht="95" customHeight="1">
      <c r="A11" s="21" t="inlineStr">
        <is>
          <t>Legacy continuity and knowledge transfer; P027; P069–P071</t>
        </is>
      </c>
      <c r="B11" s="21" t="inlineStr">
        <is>
          <t>Legacy expert and source-service cover</t>
        </is>
      </c>
      <c r="C11" s="21" t="inlineStr">
        <is>
          <t>Student proposal: source-service manager for release; delivery owner for pilot schedule</t>
        </is>
      </c>
      <c r="D11" s="21" t="inlineStr">
        <is>
          <t>Release within available hours; protect service commitments</t>
        </is>
      </c>
      <c r="E11" s="21" t="inlineStr">
        <is>
          <t>No transfer without cover; escalation owner/time must be proposed and verified</t>
        </is>
      </c>
      <c r="F11" s="21" t="inlineStr">
        <is>
          <t>Test deployability, competency evidence and protected learning arrangements.</t>
        </is>
      </c>
    </row>
    <row r="12" ht="95" customHeight="1">
      <c r="A12" s="21" t="n"/>
      <c r="B12" s="21" t="n"/>
      <c r="C12" s="21" t="n"/>
      <c r="D12" s="21" t="n"/>
      <c r="E12" s="21" t="n"/>
      <c r="F12" s="21" t="n"/>
    </row>
    <row r="13" ht="95" customHeight="1">
      <c r="A13" s="21" t="inlineStr">
        <is>
          <t>Your group response — complete this table before Session 6</t>
        </is>
      </c>
      <c r="B13" s="21" t="n"/>
      <c r="C13" s="21" t="n"/>
      <c r="D13" s="21" t="n"/>
      <c r="E13" s="21" t="n"/>
      <c r="F13" s="21" t="n"/>
    </row>
    <row r="14" ht="50" customHeight="1">
      <c r="A14" s="22" t="inlineStr">
        <is>
          <t>Business output / source</t>
        </is>
      </c>
      <c r="B14" s="22" t="inlineStr">
        <is>
          <t>Work / role</t>
        </is>
      </c>
      <c r="C14" s="22" t="inlineStr">
        <is>
          <t>Accountable owner</t>
        </is>
      </c>
      <c r="D14" s="22" t="inlineStr">
        <is>
          <t>Role authority / reporting</t>
        </is>
      </c>
      <c r="E14" s="22" t="inlineStr">
        <is>
          <t>Escalation / approval</t>
        </is>
      </c>
      <c r="F14" s="22" t="inlineStr">
        <is>
          <t>SHRBP contribution</t>
        </is>
      </c>
    </row>
    <row r="15" ht="66" customHeight="1">
      <c r="A15" s="24" t="inlineStr">
        <is>
          <t>Routine technical readiness within agreed thresholds; P019–P020</t>
        </is>
      </c>
      <c r="B15" s="24" t="inlineStr">
        <is>
          <t>Technical lead / qualified local engineering role</t>
        </is>
      </c>
      <c r="C15" s="24" t="inlineStr">
        <is>
          <t>Named technical lead; reports through pilot delivery structure</t>
        </is>
      </c>
      <c r="D15" s="24" t="inlineStr">
        <is>
          <t>Escalate threshold breach or combined-impact change to architecture council; proposed response clock needs approval</t>
        </is>
      </c>
      <c r="E15" s="24" t="inlineStr">
        <is>
          <t>Define role boundaries, competency evidence and escalation process; do not confer commercial or customer-use authority</t>
        </is>
      </c>
      <c r="F15" s="24" t="inlineStr"/>
    </row>
    <row r="16" ht="66" customHeight="1">
      <c r="A16" s="24" t="inlineStr">
        <is>
          <t>Commercial approval and customer permission; P008–P010, P019–P020</t>
        </is>
      </c>
      <c r="B16" s="24" t="inlineStr">
        <is>
          <t>Commercial/data-access reviewer and relevant product team</t>
        </is>
      </c>
      <c r="C16" s="24" t="inlineStr">
        <is>
          <t>Existing global/regional commercial and data-access owners</t>
        </is>
      </c>
      <c r="D16" s="24" t="inlineStr">
        <is>
          <t>Pricing, customer consent/access and permission for customer use remain with existing authorized owners</t>
        </is>
      </c>
      <c r="E16" s="24" t="inlineStr">
        <is>
          <t>Align staffing and onboarding to the separate technical, commercial and customer-permission clocks</t>
        </is>
      </c>
      <c r="F16" s="24" t="inlineStr"/>
    </row>
    <row r="17" ht="66" customHeight="1">
      <c r="A17" s="24" t="inlineStr">
        <is>
          <t>Existing service continuity and legacy knowledge; P027, P069–P071, P168, P183–P184</t>
        </is>
      </c>
      <c r="B17" s="24" t="inlineStr">
        <is>
          <t>Source-service manager + legacy expert + delivery manager</t>
        </is>
      </c>
      <c r="C17" s="24" t="inlineStr">
        <is>
          <t>Source-service manager approves release; delivery manager sequences protected teaching</t>
        </is>
      </c>
      <c r="D17" s="24" t="inlineStr">
        <is>
          <t>Escalate if service cover or protected teaching time is unavailable; no release by assumption</t>
        </is>
      </c>
      <c r="E17" s="24" t="inlineStr">
        <is>
          <t>Check deployable capacity, protected transfer time and readiness evidence before committing people</t>
        </is>
      </c>
      <c r="F17" s="24" t="inlineStr"/>
    </row>
    <row r="18" ht="95" customHeight="1">
      <c r="A18" s="21" t="n"/>
      <c r="B18" s="21" t="n"/>
      <c r="C18" s="21" t="n"/>
      <c r="D18" s="21" t="n"/>
      <c r="E18" s="21" t="n"/>
      <c r="F18" s="21" t="n"/>
    </row>
    <row r="19" ht="95" customHeight="1">
      <c r="A19" s="21" t="inlineStr">
        <is>
          <t>Aspirational screenshot of the completed example is embedded below.</t>
        </is>
      </c>
      <c r="B19" s="21" t="n"/>
      <c r="C19" s="21" t="n"/>
      <c r="D19" s="21" t="n"/>
      <c r="E19" s="21" t="n"/>
      <c r="F19" s="21" t="n"/>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xSplit="1" ySplit="8" topLeftCell="B9" activePane="bottomRight" state="frozen"/>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ht="32" customHeight="1">
      <c r="A1" s="20" t="inlineStr">
        <is>
          <t>Deliverable 2 — Work design and workforce plan</t>
        </is>
      </c>
      <c r="B1" s="21" t="n"/>
      <c r="C1" s="21" t="n"/>
      <c r="D1" s="21" t="n"/>
      <c r="E1" s="21" t="n"/>
      <c r="F1" s="21" t="n"/>
    </row>
    <row r="2" ht="95" customHeight="1">
      <c r="A2" s="21" t="inlineStr">
        <is>
          <t>Illustrative completed view: emulate the method and justify your own decisions. Proposed owners/criteria/timing are assumptions, not approvals.</t>
        </is>
      </c>
      <c r="B2" s="21" t="n"/>
      <c r="C2" s="21" t="n"/>
      <c r="D2" s="21" t="n"/>
      <c r="E2" s="21" t="n"/>
      <c r="F2" s="21" t="n"/>
    </row>
    <row r="3" ht="95" customHeight="1">
      <c r="A3" s="21" t="inlineStr">
        <is>
          <t>Session 5 carry forward</t>
        </is>
      </c>
      <c r="B3" s="21" t="inlineStr">
        <is>
          <t>Demand/supply calculations, skills, timing and protected service hours.</t>
        </is>
      </c>
      <c r="C3" s="21" t="n"/>
      <c r="D3" s="21" t="n"/>
      <c r="E3" s="21" t="n"/>
      <c r="F3" s="21" t="n"/>
    </row>
    <row r="4" ht="95" customHeight="1">
      <c r="A4" s="23" t="inlineStr">
        <is>
          <t>Session 6 expected</t>
        </is>
      </c>
      <c r="B4" s="21" t="inlineStr">
        <is>
          <t>Job analysis and three JD/JS designs linked to calculated work. Explain task/authority changes.</t>
        </is>
      </c>
      <c r="C4" s="21" t="n"/>
      <c r="D4" s="21" t="n"/>
      <c r="E4" s="21" t="n"/>
      <c r="F4" s="21" t="n"/>
    </row>
    <row r="5" ht="95" customHeight="1">
      <c r="A5" s="21" t="inlineStr">
        <is>
          <t>Explain in class</t>
        </is>
      </c>
      <c r="B5" s="21" t="inlineStr">
        <is>
          <t>Distinguish task demand, FTE, available headcount and approved allocation; explain positive role gaps.</t>
        </is>
      </c>
      <c r="C5" s="21" t="n"/>
      <c r="D5" s="21" t="n"/>
      <c r="E5" s="21" t="n"/>
      <c r="F5" s="21" t="n"/>
    </row>
    <row r="6" ht="95" customHeight="1">
      <c r="A6" s="21" t="inlineStr">
        <is>
          <t>Readings / case IDs</t>
        </is>
      </c>
      <c r="B6" s="21" t="inlineStr">
        <is>
          <t>Read 2 + Read 3. P023–P029; P050–P052; P063; P069–P071; P168; P183–P184.</t>
        </is>
      </c>
      <c r="C6" s="21" t="n"/>
      <c r="D6" s="21" t="n"/>
      <c r="E6" s="21" t="n"/>
      <c r="F6" s="21" t="n"/>
    </row>
    <row r="7" ht="95" customHeight="1">
      <c r="A7" s="21" t="n"/>
      <c r="B7" s="21" t="n"/>
      <c r="C7" s="21" t="n"/>
      <c r="D7" s="21" t="n"/>
      <c r="E7" s="21" t="n"/>
      <c r="F7" s="21" t="n"/>
    </row>
    <row r="8" ht="50" customHeight="1">
      <c r="A8" s="22" t="inlineStr">
        <is>
          <t>Role / source</t>
        </is>
      </c>
      <c r="B8" s="22" t="inlineStr">
        <is>
          <t>Pilot demand h</t>
        </is>
      </c>
      <c r="C8" s="22" t="inlineStr">
        <is>
          <t>Potential supply h</t>
        </is>
      </c>
      <c r="D8" s="22" t="inlineStr">
        <is>
          <t>Skill gap h</t>
        </is>
      </c>
      <c r="E8" s="22" t="inlineStr">
        <is>
          <t>Vendor count</t>
        </is>
      </c>
      <c r="F8" s="22" t="inlineStr">
        <is>
          <t>Vendor cost INR</t>
        </is>
      </c>
    </row>
    <row r="9" ht="95" customHeight="1">
      <c r="A9" s="21" t="inlineStr">
        <is>
          <t>Data preparation; bounded/single output; Q5.03–Q5.08</t>
        </is>
      </c>
      <c r="B9" s="21">
        <f>'Four scenarios'!E27</f>
        <v/>
      </c>
      <c r="C9" s="21">
        <f>'Four scenarios'!F27</f>
        <v/>
      </c>
      <c r="D9" s="21">
        <f>'Four scenarios'!H27</f>
        <v/>
      </c>
      <c r="E9" s="21">
        <f>'Four scenarios'!I27</f>
        <v/>
      </c>
      <c r="F9" s="21">
        <f>'Four scenarios'!J27</f>
        <v/>
      </c>
    </row>
    <row r="10" ht="95" customHeight="1">
      <c r="A10" s="21" t="inlineStr">
        <is>
          <t>Quality assurance; bounded/single output; Q5.03–Q5.08</t>
        </is>
      </c>
      <c r="B10" s="21">
        <f>'Four scenarios'!E28</f>
        <v/>
      </c>
      <c r="C10" s="21">
        <f>'Four scenarios'!F28</f>
        <v/>
      </c>
      <c r="D10" s="21">
        <f>'Four scenarios'!H28</f>
        <v/>
      </c>
      <c r="E10" s="21">
        <f>'Four scenarios'!I28</f>
        <v/>
      </c>
      <c r="F10" s="21">
        <f>'Four scenarios'!J28</f>
        <v/>
      </c>
    </row>
    <row r="11" ht="95" customHeight="1">
      <c r="A11" s="21" t="inlineStr">
        <is>
          <t>Legacy experts; bounded/single output; Q5.03–Q5.08</t>
        </is>
      </c>
      <c r="B11" s="21">
        <f>'Four scenarios'!E29</f>
        <v/>
      </c>
      <c r="C11" s="21">
        <f>'Four scenarios'!F29</f>
        <v/>
      </c>
      <c r="D11" s="21">
        <f>'Four scenarios'!H29</f>
        <v/>
      </c>
      <c r="E11" s="21">
        <f>'Four scenarios'!I29</f>
        <v/>
      </c>
      <c r="F11" s="21">
        <f>'Four scenarios'!J29</f>
        <v/>
      </c>
    </row>
    <row r="12" ht="95" customHeight="1">
      <c r="A12" s="21" t="n"/>
      <c r="B12" s="21" t="n"/>
      <c r="C12" s="21" t="n"/>
      <c r="D12" s="21" t="n"/>
      <c r="E12" s="21" t="n"/>
      <c r="F12" s="21" t="n"/>
    </row>
    <row r="13" ht="95" customHeight="1">
      <c r="A13" s="21" t="inlineStr">
        <is>
          <t>Your group response — complete this table before Session 6</t>
        </is>
      </c>
      <c r="B13" s="21" t="n"/>
      <c r="C13" s="21" t="n"/>
      <c r="D13" s="21" t="n"/>
      <c r="E13" s="21" t="n"/>
      <c r="F13" s="21" t="n"/>
    </row>
    <row r="14" ht="50" customHeight="1">
      <c r="A14" s="22" t="inlineStr">
        <is>
          <t>Role / source</t>
        </is>
      </c>
      <c r="B14" s="22" t="inlineStr">
        <is>
          <t>Pilot demand h</t>
        </is>
      </c>
      <c r="C14" s="22" t="inlineStr">
        <is>
          <t>Potential supply h</t>
        </is>
      </c>
      <c r="D14" s="22" t="inlineStr">
        <is>
          <t>Skill gap h</t>
        </is>
      </c>
      <c r="E14" s="22" t="inlineStr">
        <is>
          <t>Vendor count</t>
        </is>
      </c>
      <c r="F14" s="22" t="inlineStr">
        <is>
          <t>Vendor cost INR</t>
        </is>
      </c>
    </row>
    <row r="15" ht="36" customHeight="1">
      <c r="A15" s="24" t="inlineStr">
        <is>
          <t>Data preparation; bounded/single output; Q5.03–Q5.08</t>
        </is>
      </c>
      <c r="B15" s="24">
        <f>'Four scenarios'!E27</f>
        <v/>
      </c>
      <c r="C15" s="24">
        <f>'Four scenarios'!F27</f>
        <v/>
      </c>
      <c r="D15" s="24">
        <f>'Four scenarios'!H27</f>
        <v/>
      </c>
      <c r="E15" s="24">
        <f>'Four scenarios'!I27</f>
        <v/>
      </c>
      <c r="F15" s="24">
        <f>'Four scenarios'!J27</f>
        <v/>
      </c>
    </row>
    <row r="16" ht="36" customHeight="1">
      <c r="A16" s="24" t="inlineStr">
        <is>
          <t>Quality assurance; bounded/single output; Q5.03–Q5.08</t>
        </is>
      </c>
      <c r="B16" s="24">
        <f>'Four scenarios'!E28</f>
        <v/>
      </c>
      <c r="C16" s="24">
        <f>'Four scenarios'!F28</f>
        <v/>
      </c>
      <c r="D16" s="24">
        <f>'Four scenarios'!H28</f>
        <v/>
      </c>
      <c r="E16" s="24">
        <f>'Four scenarios'!I28</f>
        <v/>
      </c>
      <c r="F16" s="24">
        <f>'Four scenarios'!J28</f>
        <v/>
      </c>
    </row>
    <row r="17" ht="36" customHeight="1">
      <c r="A17" s="24" t="inlineStr">
        <is>
          <t>Legacy experts; bounded/single output; Q5.03–Q5.08</t>
        </is>
      </c>
      <c r="B17" s="24">
        <f>'Four scenarios'!E29</f>
        <v/>
      </c>
      <c r="C17" s="24">
        <f>'Four scenarios'!F29</f>
        <v/>
      </c>
      <c r="D17" s="24">
        <f>'Four scenarios'!H29</f>
        <v/>
      </c>
      <c r="E17" s="24">
        <f>'Four scenarios'!I29</f>
        <v/>
      </c>
      <c r="F17" s="24">
        <f>'Four scenarios'!J29</f>
        <v/>
      </c>
    </row>
    <row r="18" ht="95" customHeight="1">
      <c r="A18" s="21" t="n"/>
      <c r="B18" s="21" t="n"/>
      <c r="C18" s="21" t="n"/>
      <c r="D18" s="21" t="n"/>
      <c r="E18" s="21" t="n"/>
      <c r="F18" s="21" t="n"/>
    </row>
    <row r="19" ht="95" customHeight="1">
      <c r="A19" s="21" t="inlineStr">
        <is>
          <t>Aspirational screenshot of the completed example is embedded below.</t>
        </is>
      </c>
      <c r="B19" s="21" t="n"/>
      <c r="C19" s="21" t="n"/>
      <c r="D19" s="21" t="n"/>
      <c r="E19" s="21" t="n"/>
      <c r="F19" s="21" t="n"/>
    </row>
    <row r="20" ht="95" customHeight="1">
      <c r="A20" s="21" t="n"/>
      <c r="B20" s="21" t="n"/>
      <c r="C20" s="21" t="n"/>
      <c r="D20" s="21" t="n"/>
      <c r="E20" s="21" t="n"/>
      <c r="F20" s="21" t="n"/>
    </row>
    <row r="21" ht="50" customHeight="1">
      <c r="A21" s="22" t="inlineStr">
        <is>
          <t>Three illustrative JD/JS designs — complete and justify your own alternatives</t>
        </is>
      </c>
      <c r="B21" s="22" t="n"/>
      <c r="C21" s="22" t="n"/>
      <c r="D21" s="22" t="n"/>
      <c r="E21" s="22" t="n"/>
      <c r="F21" s="22" t="n"/>
    </row>
    <row r="22" ht="95" customHeight="1">
      <c r="A22" s="21" t="inlineStr">
        <is>
          <t>Role</t>
        </is>
      </c>
      <c r="B22" s="21" t="inlineStr">
        <is>
          <t>JD: duties/output</t>
        </is>
      </c>
      <c r="C22" s="21" t="inlineStr">
        <is>
          <t>JD: authority/reporting</t>
        </is>
      </c>
      <c r="D22" s="21" t="inlineStr">
        <is>
          <t>JS: competencies</t>
        </is>
      </c>
      <c r="E22" s="21" t="inlineStr">
        <is>
          <t>Design intervention</t>
        </is>
      </c>
      <c r="F22" s="21" t="inlineStr">
        <is>
          <t>Readiness/selection evidence</t>
        </is>
      </c>
    </row>
    <row r="23" ht="95" customHeight="1">
      <c r="A23" s="21" t="inlineStr">
        <is>
          <t>Data preparation</t>
        </is>
      </c>
      <c r="B23" s="21" t="inlineStr">
        <is>
          <t>Prepare 60 shared packs and validate exceptions; role-pool workload, not one employee task list.</t>
        </is>
      </c>
      <c r="C23" s="21" t="inlineStr">
        <is>
          <t>Proposed preparation owner; preserve customer-access approval.</t>
        </is>
      </c>
      <c r="D23" s="21" t="inlineStr">
        <is>
          <t>Reconciliation, exception judgement, documentation.</t>
        </is>
      </c>
      <c r="E23" s="21" t="inlineStr">
        <is>
          <t>Remove duplicate output only with receiving-owner agreement.</t>
        </is>
      </c>
      <c r="F23" s="21" t="inlineStr">
        <is>
          <t>Standardized anomalous-record work sample; protected shadowing. P024; P069.</t>
        </is>
      </c>
    </row>
    <row r="24" ht="95" customHeight="1">
      <c r="A24" s="21" t="inlineStr">
        <is>
          <t>Quality assurance</t>
        </is>
      </c>
      <c r="B24" s="21" t="inlineStr">
        <is>
          <t>80 validation tasks; 240 task hours plus selected coordination.</t>
        </is>
      </c>
      <c r="C24" s="21" t="inlineStr">
        <is>
          <t>Proposed validation owner; technical acceptance/escalation remains named.</t>
        </is>
      </c>
      <c r="D24" s="21" t="inlineStr">
        <is>
          <t>Test execution, evidence interpretation, risk escalation.</t>
        </is>
      </c>
      <c r="E24" s="21" t="inlineStr">
        <is>
          <t>Enrichment only if discretion and support are granted; no automatic authority transfer.</t>
        </is>
      </c>
      <c r="F24" s="21" t="inlineStr">
        <is>
          <t>Same validation work sample/rubric for candidates; record acceptance gate. Q5.04; P019.</t>
        </is>
      </c>
    </row>
    <row r="25" ht="95" customHeight="1">
      <c r="A25" s="21" t="inlineStr">
        <is>
          <t>Legacy expert</t>
        </is>
      </c>
      <c r="B25" s="21" t="inlineStr">
        <is>
          <t>40 teaching/documentation blocks;160 task hours plus coordination.</t>
        </is>
      </c>
      <c r="C25" s="21" t="inlineStr">
        <is>
          <t>Source-service manager authorizes release; pilot owner protects transfer time.</t>
        </is>
      </c>
      <c r="D25" s="21" t="inlineStr">
        <is>
          <t>Contract exceptions, teaching, knowledge documentation.</t>
        </is>
      </c>
      <c r="E25" s="21" t="inlineStr">
        <is>
          <t>Protected rotation/practice with service cover; not two full workloads.</t>
        </is>
      </c>
      <c r="F25" s="21" t="inlineStr">
        <is>
          <t>Demonstrate exception transfer and learner competence. P063; P069–P071; P168.</t>
        </is>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9"/>
  <sheetViews>
    <sheetView showGridLines="0" workbookViewId="0">
      <pane xSplit="1" ySplit="8" topLeftCell="B9" activePane="bottomRight" state="frozen"/>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ht="32" customHeight="1">
      <c r="A1" s="20" t="inlineStr">
        <is>
          <t>Deliverable 3 — Attraction, selection and onboarding</t>
        </is>
      </c>
      <c r="B1" s="21" t="n"/>
      <c r="C1" s="21" t="n"/>
      <c r="D1" s="21" t="n"/>
      <c r="E1" s="21" t="n"/>
      <c r="F1" s="21" t="n"/>
    </row>
    <row r="2" ht="95" customHeight="1">
      <c r="A2" s="21" t="inlineStr">
        <is>
          <t>Illustrative completed view: emulate the method and justify your own decisions. Proposed owners/criteria/timing are assumptions, not approvals.</t>
        </is>
      </c>
      <c r="B2" s="21" t="n"/>
      <c r="C2" s="21" t="n"/>
      <c r="D2" s="21" t="n"/>
      <c r="E2" s="21" t="n"/>
      <c r="F2" s="21" t="n"/>
    </row>
    <row r="3" ht="95" customHeight="1">
      <c r="A3" s="21" t="inlineStr">
        <is>
          <t>Session 5 carry forward</t>
        </is>
      </c>
      <c r="B3" s="21" t="inlineStr">
        <is>
          <t>Skill gap, internal release constraint, vendor cost and eight-week permanent-hire lead.</t>
        </is>
      </c>
      <c r="C3" s="21" t="n"/>
      <c r="D3" s="21" t="n"/>
      <c r="E3" s="21" t="n"/>
      <c r="F3" s="21" t="n"/>
    </row>
    <row r="4" ht="95" customHeight="1">
      <c r="A4" s="23" t="inlineStr">
        <is>
          <t>Session 6 expected</t>
        </is>
      </c>
      <c r="B4" s="21" t="inlineStr">
        <is>
          <t>Gap-to-source choice, evidence-based selection and explicit onboarding/readiness checks.</t>
        </is>
      </c>
      <c r="C4" s="21" t="n"/>
      <c r="D4" s="21" t="n"/>
      <c r="E4" s="21" t="n"/>
      <c r="F4" s="21" t="n"/>
    </row>
    <row r="5" ht="95" customHeight="1">
      <c r="A5" s="21" t="inlineStr">
        <is>
          <t>Explain in class</t>
        </is>
      </c>
      <c r="B5" s="21" t="inlineStr">
        <is>
          <t>Explain why selecting a worker is not the same as access, authority or productive readiness.</t>
        </is>
      </c>
      <c r="C5" s="21" t="n"/>
      <c r="D5" s="21" t="n"/>
      <c r="E5" s="21" t="n"/>
      <c r="F5" s="21" t="n"/>
    </row>
    <row r="6" ht="95" customHeight="1">
      <c r="A6" s="21" t="inlineStr">
        <is>
          <t>Readings / case IDs</t>
        </is>
      </c>
      <c r="B6" s="21" t="inlineStr">
        <is>
          <t>Read 3; revisit Read 2. P061–P064; P069–P071; P187–P190; P207–P208.</t>
        </is>
      </c>
      <c r="C6" s="21" t="n"/>
      <c r="D6" s="21" t="n"/>
      <c r="E6" s="21" t="n"/>
      <c r="F6" s="21" t="n"/>
    </row>
    <row r="7" ht="95" customHeight="1">
      <c r="A7" s="21" t="n"/>
      <c r="B7" s="21" t="n"/>
      <c r="C7" s="21" t="n"/>
      <c r="D7" s="21" t="n"/>
      <c r="E7" s="21" t="n"/>
      <c r="F7" s="21" t="n"/>
    </row>
    <row r="8" ht="50" customHeight="1">
      <c r="A8" s="22" t="inlineStr">
        <is>
          <t>Gap / source</t>
        </is>
      </c>
      <c r="B8" s="22" t="inlineStr">
        <is>
          <t>Sourcing option</t>
        </is>
      </c>
      <c r="C8" s="22" t="inlineStr">
        <is>
          <t>Selection evidence</t>
        </is>
      </c>
      <c r="D8" s="22" t="inlineStr">
        <is>
          <t>Onboarding / readiness gate</t>
        </is>
      </c>
      <c r="E8" s="22" t="inlineStr">
        <is>
          <t>Owner and timing</t>
        </is>
      </c>
      <c r="F8" s="22" t="inlineStr">
        <is>
          <t>Cost and condition</t>
        </is>
      </c>
    </row>
    <row r="9" ht="95" customHeight="1">
      <c r="A9" s="21" t="inlineStr">
        <is>
          <t>Data preparation gap 80h in bounded/single-output full-release illustration; Q5.03–Q5.08</t>
        </is>
      </c>
      <c r="B9" s="21" t="inlineStr">
        <is>
          <t>One role-specific vendor worker if internal release and redesign conditions hold.</t>
        </is>
      </c>
      <c r="C9" s="21" t="inlineStr">
        <is>
          <t>Proposed common work sample: reconcile anomalous customer pack; validate ability, not title alone.</t>
        </is>
      </c>
      <c r="D9" s="21" t="inlineStr">
        <is>
          <t>Customer-data access authorized; internal expert introduces exceptions; tested shared-output handoff.</t>
        </is>
      </c>
      <c r="E9" s="21" t="inlineStr">
        <is>
          <t>Procurement for supplier, operating owner for access; baseline start week1; approval required.</t>
        </is>
      </c>
      <c r="F9" s="21" t="inlineStr">
        <is>
          <t>₹88,000 (1×160×₹550); extra induction cost/time must be estimated separately if not already covered.</t>
        </is>
      </c>
    </row>
    <row r="10" ht="95" customHeight="1">
      <c r="A10" s="21" t="inlineStr">
        <is>
          <t>QA gap72h; Q5.03–Q5.08</t>
        </is>
      </c>
      <c r="B10" s="21" t="inlineStr">
        <is>
          <t>One QA vendor under baseline effective capacity102.4h.</t>
        </is>
      </c>
      <c r="C10" s="21" t="inlineStr">
        <is>
          <t>Proposed standardized validation task and judgement questions.</t>
        </is>
      </c>
      <c r="D10" s="21" t="inlineStr">
        <is>
          <t>Understand acceptance/escalation threshold; observe supervised validation; demonstrate readiness.</t>
        </is>
      </c>
      <c r="E10" s="21" t="inlineStr">
        <is>
          <t>QA/technical owner; start assumption week1 subject to access and induction.</t>
        </is>
      </c>
      <c r="F10" s="21" t="inlineStr">
        <is>
          <t>₹128,000 (1×160×₹800); no claim that vendor owns technical authorization.</t>
        </is>
      </c>
    </row>
    <row r="11" ht="95" customHeight="1">
      <c r="A11" s="21" t="inlineStr">
        <is>
          <t>Legacy-expert gap64h; P027; P069–P071; Q5.03–Q5.08</t>
        </is>
      </c>
      <c r="B11" s="21" t="inlineStr">
        <is>
          <t>One specialist vendor is a numerical option; assess tacit-knowledge fit and internal transfer dependency.</t>
        </is>
      </c>
      <c r="C11" s="21" t="inlineStr">
        <is>
          <t>Proposed contract-exception explanation plus documentation/teaching demonstration.</t>
        </is>
      </c>
      <c r="D11" s="21" t="inlineStr">
        <is>
          <t>Internal knowledge owner verifies interpretation; protected transfer and service cover required.</t>
        </is>
      </c>
      <c r="E11" s="21" t="inlineStr">
        <is>
          <t>Source-service owner plus delivery owner; verify knowledge-access timing.</t>
        </is>
      </c>
      <c r="F11" s="21" t="inlineStr">
        <is>
          <t>₹160,000 (1×160×₹1,000); vendor skill does not automatically replace internal context.</t>
        </is>
      </c>
    </row>
    <row r="12" ht="95" customHeight="1">
      <c r="A12" s="21" t="n"/>
      <c r="B12" s="21" t="n"/>
      <c r="C12" s="21" t="n"/>
      <c r="D12" s="21" t="n"/>
      <c r="E12" s="21" t="n"/>
      <c r="F12" s="21" t="n"/>
    </row>
    <row r="13" ht="95" customHeight="1">
      <c r="A13" s="21" t="inlineStr">
        <is>
          <t>Your group response — complete this table before Session 6</t>
        </is>
      </c>
      <c r="B13" s="21" t="n"/>
      <c r="C13" s="21" t="n"/>
      <c r="D13" s="21" t="n"/>
      <c r="E13" s="21" t="n"/>
      <c r="F13" s="21" t="n"/>
    </row>
    <row r="14" ht="50" customHeight="1">
      <c r="A14" s="22" t="inlineStr">
        <is>
          <t>Gap / source</t>
        </is>
      </c>
      <c r="B14" s="22" t="inlineStr">
        <is>
          <t>Sourcing option</t>
        </is>
      </c>
      <c r="C14" s="22" t="inlineStr">
        <is>
          <t>Selection evidence</t>
        </is>
      </c>
      <c r="D14" s="22" t="inlineStr">
        <is>
          <t>Onboarding / readiness gate</t>
        </is>
      </c>
      <c r="E14" s="22" t="inlineStr">
        <is>
          <t>Owner and timing</t>
        </is>
      </c>
      <c r="F14" s="22" t="inlineStr">
        <is>
          <t>Cost and condition</t>
        </is>
      </c>
    </row>
    <row r="15" ht="78" customHeight="1">
      <c r="A15" s="24" t="inlineStr">
        <is>
          <t>Data preparation gap 80h; Q5.03–Q5.08; P024</t>
        </is>
      </c>
      <c r="B15" s="24" t="inlineStr">
        <is>
          <t>One role-specific vendor worker, conditional on one accepted output and authorized release</t>
        </is>
      </c>
      <c r="C15" s="24" t="inlineStr">
        <is>
          <t>Standardized customer-pack reconciliation work sample; same rubric for all candidates</t>
        </is>
      </c>
      <c r="D15" s="24" t="inlineStr">
        <is>
          <t>Authorize data access; supervised exception practice; receiver signs off shared output</t>
        </is>
      </c>
      <c r="E15" s="24" t="inlineStr">
        <is>
          <t>Procurement + operating owner; Week 1 start is an assumption, subject to approval</t>
        </is>
      </c>
      <c r="F15" s="24" t="inlineStr">
        <is>
          <t>₹88,000 = 1 × 160 paid h × ₹550; extra onboarding cost excluded unless separately estimated</t>
        </is>
      </c>
    </row>
    <row r="16" ht="78" customHeight="1">
      <c r="A16" s="24" t="inlineStr">
        <is>
          <t>QA gap 72h; Q5.03–Q5.08; P019–P020</t>
        </is>
      </c>
      <c r="B16" s="24" t="inlineStr">
        <is>
          <t>One QA vendor, conditional on acceptance criteria and system access</t>
        </is>
      </c>
      <c r="C16" s="24" t="inlineStr">
        <is>
          <t>Validation work sample + exception judgement + documented defect log</t>
        </is>
      </c>
      <c r="D16" s="24" t="inlineStr">
        <is>
          <t>Train on acceptance thresholds; supervised validation; technical owner confirms readiness</t>
        </is>
      </c>
      <c r="E16" s="24" t="inlineStr">
        <is>
          <t>QA/technical owner + procurement; Week 1 start is an assumption</t>
        </is>
      </c>
      <c r="F16" s="24" t="inlineStr">
        <is>
          <t>₹1,28,000 = 1 × 160 paid h × ₹800; vendor does not gain approval authority</t>
        </is>
      </c>
    </row>
    <row r="17" ht="78" customHeight="1">
      <c r="A17" s="24" t="inlineStr">
        <is>
          <t>Legacy-expert gap 64h; Q5.03–Q5.08; P027, P069–P071, P168</t>
        </is>
      </c>
      <c r="B17" s="24" t="inlineStr">
        <is>
          <t>One specialist vendor is a numerical option; compare with protected internal knowledge transfer</t>
        </is>
      </c>
      <c r="C17" s="24" t="inlineStr">
        <is>
          <t>Explain an exception, document it and teach a second person to apply it</t>
        </is>
      </c>
      <c r="D17" s="24" t="inlineStr">
        <is>
          <t>Named internal expert verifies learning; source-service cover and protected transfer time required</t>
        </is>
      </c>
      <c r="E17" s="24" t="inlineStr">
        <is>
          <t>Source-service manager + delivery manager; date must be verified</t>
        </is>
      </c>
      <c r="F17" s="24" t="inlineStr">
        <is>
          <t>₹1,60,000 = 1 × 160 paid h × ₹1,000; vendor cost does not eliminate internal-context dependency</t>
        </is>
      </c>
    </row>
    <row r="18" ht="95" customHeight="1">
      <c r="A18" s="21" t="n"/>
      <c r="B18" s="21" t="n"/>
      <c r="C18" s="21" t="n"/>
      <c r="D18" s="21" t="n"/>
      <c r="E18" s="21" t="n"/>
      <c r="F18" s="21" t="n"/>
    </row>
    <row r="19" ht="95" customHeight="1">
      <c r="A19" s="21" t="inlineStr">
        <is>
          <t>Aspirational screenshot of the completed example is embedded below.</t>
        </is>
      </c>
      <c r="B19" s="21" t="n"/>
      <c r="C19" s="21" t="n"/>
      <c r="D19" s="21" t="n"/>
      <c r="E19" s="21" t="n"/>
      <c r="F19" s="21" t="n"/>
    </row>
  </sheetData>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9"/>
  <sheetViews>
    <sheetView showGridLines="0" workbookViewId="0">
      <pane xSplit="1" ySplit="2" topLeftCell="B3" activePane="bottomRight" state="frozen"/>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ht="32" customHeight="1">
      <c r="A1" s="20" t="inlineStr">
        <is>
          <t>Session 6 — three reading sets students must explain</t>
        </is>
      </c>
      <c r="B1" s="21" t="n"/>
      <c r="C1" s="21" t="n"/>
      <c r="D1" s="21" t="n"/>
      <c r="E1" s="21" t="n"/>
    </row>
    <row r="2" ht="50" customHeight="1">
      <c r="A2" s="22" t="inlineStr">
        <is>
          <t>Reading</t>
        </is>
      </c>
      <c r="B2" s="22" t="inlineStr">
        <is>
          <t>Assigned portion</t>
        </is>
      </c>
      <c r="C2" s="22" t="inlineStr">
        <is>
          <t>Concept explanation</t>
        </is>
      </c>
      <c r="D2" s="22" t="inlineStr">
        <is>
          <t>Apply to deliverable</t>
        </is>
      </c>
      <c r="E2" s="22" t="inlineStr">
        <is>
          <t>Case IDs / task</t>
        </is>
      </c>
    </row>
    <row r="3" ht="95" customHeight="1">
      <c r="A3" s="21" t="inlineStr">
        <is>
          <t>1 Mintzberg (1980), R1</t>
        </is>
      </c>
      <c r="B3" s="21" t="inlineStr">
        <is>
          <t>Assigned abstract paras1–9 and supplied native figures: parts, configurations and decentralization.</t>
        </is>
      </c>
      <c r="C3" s="21" t="inlineStr">
        <is>
          <t>How work is coordinated and authority distributed; distinguish reporting from final decision rights.</t>
        </is>
      </c>
      <c r="D3" s="21" t="inlineStr">
        <is>
          <t>D1; supports D2 ownership.</t>
        </is>
      </c>
      <c r="E3" s="21" t="inlineStr">
        <is>
          <t>P008–P014; P042–P044. Explain one decision boundary in D1.</t>
        </is>
      </c>
    </row>
    <row r="4" ht="95" customHeight="1">
      <c r="A4" s="21" t="inlineStr">
        <is>
          <t>2 Dessler (2020), R2</t>
        </is>
      </c>
      <c r="B4" s="21" t="inlineStr">
        <is>
          <t>Chapter3 pp90–91 and Chapter5 pp144–145; prescribed book/institutional access.</t>
        </is>
      </c>
      <c r="C4" s="21" t="inlineStr">
        <is>
          <t>Strategic HR alignment; workforce demand, deployable supply, gaps and response timing.</t>
        </is>
      </c>
      <c r="D4" s="21" t="inlineStr">
        <is>
          <t>D1 business fit; D2 numerical plan; D3 timing.</t>
        </is>
      </c>
      <c r="E4" s="21" t="inlineStr">
        <is>
          <t>P023–P029; P050–P052; Q5.01–Q5.08. Explain one demand/supply formula.</t>
        </is>
      </c>
    </row>
    <row r="5" ht="95" customHeight="1">
      <c r="A5" s="21" t="inlineStr">
        <is>
          <t>3 Job analysis/design, R3</t>
        </is>
      </c>
      <c r="B5" s="21" t="inlineStr">
        <is>
          <t>Dessler Chapter4 pp113–115 plus CIPD Job design first two public introductory paragraphs.</t>
        </is>
      </c>
      <c r="C5" s="21" t="inlineStr">
        <is>
          <t>Job analysis; JD/JS; connect job design to workload and staffing. Explain rotation, enlargement and enrichment with appropriate supporting textbook reading.</t>
        </is>
      </c>
      <c r="D5" s="21" t="inlineStr">
        <is>
          <t>D2 roles; D3 competencies, selection and onboarding.</t>
        </is>
      </c>
      <c r="E5" s="21" t="inlineStr">
        <is>
          <t>P061–P064; P069–P071; P168; P183–P184. Explain one proposed role change.</t>
        </is>
      </c>
    </row>
    <row r="6" ht="95" customHeight="1">
      <c r="A6" s="21" t="n"/>
      <c r="B6" s="21" t="n"/>
      <c r="C6" s="21" t="n"/>
      <c r="D6" s="21" t="n"/>
      <c r="E6" s="21" t="n"/>
    </row>
    <row r="7" ht="95" customHeight="1">
      <c r="A7" s="21" t="inlineStr">
        <is>
          <t>CIPD public reading</t>
        </is>
      </c>
      <c r="B7" s="21" t="inlineStr">
        <is>
          <t>https://www.cipd.org/en/knowledge/factsheets/job-design-factsheet/</t>
        </is>
      </c>
      <c r="C7" s="21" t="n"/>
      <c r="D7" s="21" t="n"/>
      <c r="E7" s="21" t="n"/>
    </row>
    <row r="8" ht="95" customHeight="1">
      <c r="A8" s="21" t="inlineStr">
        <is>
          <t>Student viva</t>
        </is>
      </c>
      <c r="B8" s="21" t="inlineStr">
        <is>
          <t>For each reading: explain concept → cite P/Q evidence → show calculation or role change → defend choice.</t>
        </is>
      </c>
      <c r="C8" s="21" t="n"/>
      <c r="D8" s="21" t="n"/>
      <c r="E8" s="21" t="n"/>
    </row>
    <row r="9" ht="95" customHeight="1">
      <c r="A9" s="21" t="inlineStr">
        <is>
          <t>Textbook access</t>
        </is>
      </c>
      <c r="B9" s="21" t="inlineStr">
        <is>
          <t>Use prescribed copies/institutional access. These tables guide application and do not reproduce textbook pages.</t>
        </is>
      </c>
      <c r="C9" s="21" t="n"/>
      <c r="D9" s="21" t="n"/>
      <c r="E9" s="21"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31"/>
  <sheetViews>
    <sheetView showGridLines="0" workbookViewId="0">
      <pane ySplit="5" topLeftCell="A6" activePane="bottomLeft" state="frozen"/>
      <selection activeCell="A1" sqref="A1"/>
    </sheetView>
  </sheetViews>
  <sheetFormatPr baseColWidth="8" defaultRowHeight="15"/>
  <cols>
    <col width="30" customWidth="1" min="1" max="1"/>
    <col width="20" customWidth="1" min="2" max="2"/>
    <col width="20" customWidth="1" min="3" max="3"/>
    <col width="48" customWidth="1" min="4" max="4"/>
    <col width="20" customWidth="1" min="5" max="5"/>
    <col width="20" customWidth="1" min="6" max="6"/>
    <col width="20" customWidth="1" min="7" max="7"/>
    <col width="20" customWidth="1" min="8" max="8"/>
    <col width="20" customWidth="1" min="9" max="9"/>
  </cols>
  <sheetData>
    <row r="1"/>
    <row r="2" ht="28" customHeight="1">
      <c r="A2" s="9" t="inlineStr">
        <is>
          <t>Inputs — Q5 case records and Q6 scenario assumptions</t>
        </is>
      </c>
      <c r="B2" s="7" t="n"/>
      <c r="C2" s="7" t="n"/>
      <c r="D2" s="7" t="n"/>
      <c r="E2" s="7" t="n"/>
      <c r="F2" s="7" t="n"/>
      <c r="G2" s="7" t="n"/>
      <c r="H2" s="7" t="n"/>
      <c r="I2" s="7" t="n"/>
    </row>
    <row r="3" ht="28" customHeight="1">
      <c r="A3" s="7" t="n"/>
      <c r="B3" s="7" t="n"/>
      <c r="C3" s="7" t="n"/>
      <c r="D3" s="7" t="n"/>
      <c r="E3" s="7" t="n"/>
      <c r="F3" s="7" t="n"/>
      <c r="G3" s="7" t="n"/>
      <c r="H3" s="7" t="n"/>
      <c r="I3" s="7" t="n"/>
    </row>
    <row r="4" ht="28" customHeight="1">
      <c r="A4" s="7" t="n"/>
      <c r="B4" s="7" t="n"/>
      <c r="C4" s="7" t="n"/>
      <c r="D4" s="7" t="n"/>
      <c r="E4" s="7" t="n"/>
      <c r="F4" s="7" t="n"/>
      <c r="G4" s="7" t="n"/>
      <c r="H4" s="7" t="n"/>
      <c r="I4" s="7" t="n"/>
    </row>
    <row r="5" ht="58" customHeight="1">
      <c r="A5" s="14" t="inlineStr">
        <is>
          <t>Parameter</t>
        </is>
      </c>
      <c r="B5" s="14" t="inlineStr">
        <is>
          <t>Value</t>
        </is>
      </c>
      <c r="C5" s="14" t="inlineStr">
        <is>
          <t>Unit</t>
        </is>
      </c>
      <c r="D5" s="14" t="inlineStr">
        <is>
          <t>Source / meaning</t>
        </is>
      </c>
      <c r="E5" s="7" t="n"/>
      <c r="F5" s="7" t="n"/>
      <c r="G5" s="7" t="n"/>
      <c r="H5" s="7" t="n"/>
      <c r="I5" s="7" t="n"/>
    </row>
    <row r="6" ht="42" customHeight="1">
      <c r="A6" s="7" t="inlineStr">
        <is>
          <t>Window</t>
        </is>
      </c>
      <c r="B6" s="11" t="n">
        <v>4</v>
      </c>
      <c r="C6" s="7" t="inlineStr">
        <is>
          <t>weeks</t>
        </is>
      </c>
      <c r="D6" s="12" t="inlineStr">
        <is>
          <t>Q5.01</t>
        </is>
      </c>
      <c r="E6" s="7" t="n"/>
      <c r="F6" s="7" t="n"/>
      <c r="G6" s="7" t="n"/>
      <c r="H6" s="7" t="n"/>
      <c r="I6" s="7" t="n"/>
    </row>
    <row r="7" ht="42" customHeight="1">
      <c r="A7" s="7" t="inlineStr">
        <is>
          <t>Weekly hours</t>
        </is>
      </c>
      <c r="B7" s="11" t="n">
        <v>40</v>
      </c>
      <c r="C7" s="7" t="inlineStr">
        <is>
          <t>paid hours</t>
        </is>
      </c>
      <c r="D7" s="12" t="inlineStr">
        <is>
          <t>Q5.02</t>
        </is>
      </c>
      <c r="E7" s="7" t="n"/>
      <c r="F7" s="7" t="n"/>
      <c r="G7" s="7" t="n"/>
      <c r="H7" s="7" t="n"/>
      <c r="I7" s="7" t="n"/>
    </row>
    <row r="8" ht="42" customHeight="1">
      <c r="A8" s="7" t="inlineStr">
        <is>
          <t>Allowance</t>
        </is>
      </c>
      <c r="B8" s="25" t="n">
        <v>0.2</v>
      </c>
      <c r="C8" s="7" t="inlineStr">
        <is>
          <t>share</t>
        </is>
      </c>
      <c r="D8" s="12" t="inlineStr">
        <is>
          <t>Q5.02</t>
        </is>
      </c>
      <c r="E8" s="7" t="n"/>
      <c r="F8" s="7" t="n"/>
      <c r="G8" s="7" t="n"/>
      <c r="H8" s="7" t="n"/>
      <c r="I8" s="7" t="n"/>
    </row>
    <row r="9" ht="42" customHeight="1">
      <c r="A9" s="7" t="inlineStr">
        <is>
          <t>Vendor proficiency</t>
        </is>
      </c>
      <c r="B9" s="25" t="n">
        <v>0.8</v>
      </c>
      <c r="C9" s="7" t="inlineStr">
        <is>
          <t>effective share</t>
        </is>
      </c>
      <c r="D9" s="12" t="inlineStr">
        <is>
          <t>Q5.07; change only as labelled scenario</t>
        </is>
      </c>
      <c r="E9" s="7" t="n"/>
      <c r="F9" s="7" t="n"/>
      <c r="G9" s="7" t="n"/>
      <c r="H9" s="7" t="n"/>
      <c r="I9" s="7" t="n"/>
    </row>
    <row r="10" ht="42" customHeight="1">
      <c r="A10" s="7" t="inlineStr">
        <is>
          <t>Vendor budget</t>
        </is>
      </c>
      <c r="B10" s="26" t="n">
        <v>600000</v>
      </c>
      <c r="C10" s="7" t="inlineStr">
        <is>
          <t>INR</t>
        </is>
      </c>
      <c r="D10" s="12" t="inlineStr">
        <is>
          <t>Q5.07</t>
        </is>
      </c>
      <c r="E10" s="7" t="n"/>
      <c r="F10" s="7" t="n"/>
      <c r="G10" s="7" t="n"/>
      <c r="H10" s="7" t="n"/>
      <c r="I10" s="7" t="n"/>
    </row>
    <row r="11" ht="42" customHeight="1">
      <c r="A11" s="7" t="inlineStr">
        <is>
          <t>Vendor limit</t>
        </is>
      </c>
      <c r="B11" s="11" t="n">
        <v>8</v>
      </c>
      <c r="C11" s="7" t="inlineStr">
        <is>
          <t>people</t>
        </is>
      </c>
      <c r="D11" s="12" t="inlineStr">
        <is>
          <t>Q5.07</t>
        </is>
      </c>
      <c r="E11" s="7" t="n"/>
      <c r="F11" s="7" t="n"/>
      <c r="G11" s="7" t="n"/>
      <c r="H11" s="7" t="n"/>
      <c r="I11" s="7" t="n"/>
    </row>
    <row r="12" ht="42" customHeight="1">
      <c r="A12" s="7" t="inlineStr">
        <is>
          <t>Permanent-hire lead</t>
        </is>
      </c>
      <c r="B12" s="11" t="n">
        <v>8</v>
      </c>
      <c r="C12" s="7" t="inlineStr">
        <is>
          <t>weeks</t>
        </is>
      </c>
      <c r="D12" s="12" t="inlineStr">
        <is>
          <t>Q5.07</t>
        </is>
      </c>
      <c r="E12" s="7" t="n"/>
      <c r="F12" s="7" t="n"/>
      <c r="G12" s="7" t="n"/>
      <c r="H12" s="7" t="n"/>
      <c r="I12" s="7" t="n"/>
    </row>
    <row r="13" ht="42" customHeight="1">
      <c r="A13" s="7" t="inlineStr">
        <is>
          <t>Workflow</t>
        </is>
      </c>
      <c r="B13" s="11" t="n">
        <v>1</v>
      </c>
      <c r="C13" s="7" t="inlineStr">
        <is>
          <t>1 retained / 2 bounded</t>
        </is>
      </c>
      <c r="D13" s="12" t="inlineStr">
        <is>
          <t>Q5.05; conditional authority</t>
        </is>
      </c>
      <c r="E13" s="7" t="n"/>
      <c r="F13" s="7" t="n"/>
      <c r="G13" s="7" t="n"/>
      <c r="H13" s="7" t="n"/>
      <c r="I13" s="7" t="n"/>
    </row>
    <row r="14" ht="42" customHeight="1">
      <c r="A14" s="7" t="inlineStr">
        <is>
          <t>Include duplicate</t>
        </is>
      </c>
      <c r="B14" s="11" t="n">
        <v>1</v>
      </c>
      <c r="C14" s="7" t="inlineStr">
        <is>
          <t>1 yes / 0 no</t>
        </is>
      </c>
      <c r="D14" s="12" t="inlineStr">
        <is>
          <t>Q5.04; exclusion requires common-output owner</t>
        </is>
      </c>
      <c r="E14" s="7" t="n"/>
      <c r="F14" s="7" t="n"/>
      <c r="G14" s="7" t="n"/>
      <c r="H14" s="7" t="n"/>
      <c r="I14" s="7" t="n"/>
    </row>
    <row r="15" ht="42" customHeight="1">
      <c r="A15" s="7" t="inlineStr">
        <is>
          <t>Vendor delay</t>
        </is>
      </c>
      <c r="B15" s="11" t="n">
        <v>0</v>
      </c>
      <c r="C15" s="7" t="inlineStr">
        <is>
          <t>weeks</t>
        </is>
      </c>
      <c r="D15" s="12" t="inlineStr">
        <is>
          <t>Q6.03 optional downside assumption; baseline zero</t>
        </is>
      </c>
      <c r="E15" s="7" t="n"/>
      <c r="F15" s="7" t="n"/>
      <c r="G15" s="7" t="n"/>
      <c r="H15" s="7" t="n"/>
      <c r="I15" s="7" t="n"/>
    </row>
    <row r="16" ht="42" customHeight="1">
      <c r="A16" s="7" t="inlineStr">
        <is>
          <t>Extra role workload</t>
        </is>
      </c>
      <c r="B16" s="11" t="n">
        <v>0</v>
      </c>
      <c r="C16" s="7" t="inlineStr">
        <is>
          <t>hours per role</t>
        </is>
      </c>
      <c r="D16" s="12" t="inlineStr">
        <is>
          <t>Q6.02; specialist/onboarding additions beyond Q5</t>
        </is>
      </c>
      <c r="E16" s="7" t="n"/>
      <c r="F16" s="7" t="n"/>
      <c r="G16" s="7" t="n"/>
      <c r="H16" s="7" t="n"/>
      <c r="I16" s="7" t="n"/>
    </row>
    <row r="17" ht="42" customHeight="1">
      <c r="A17" s="7" t="inlineStr">
        <is>
          <t>Extra incremental cost</t>
        </is>
      </c>
      <c r="B17" s="11" t="n">
        <v>0</v>
      </c>
      <c r="C17" s="7" t="inlineStr">
        <is>
          <t>INR</t>
        </is>
      </c>
      <c r="D17" s="12" t="inlineStr">
        <is>
          <t>Q6.04; justify zero or record assumed additional costs</t>
        </is>
      </c>
      <c r="E17" s="7" t="n"/>
      <c r="F17" s="7" t="n"/>
      <c r="G17" s="7" t="n"/>
      <c r="H17" s="7" t="n"/>
      <c r="I17" s="7" t="n"/>
    </row>
    <row r="18" ht="42" customHeight="1">
      <c r="A18" s="7" t="inlineStr">
        <is>
          <t>Employee productive hours</t>
        </is>
      </c>
      <c r="B18" s="7">
        <f>B6*B7*(1-B8)</f>
        <v/>
      </c>
      <c r="C18" s="7" t="inlineStr">
        <is>
          <t>hours/person</t>
        </is>
      </c>
      <c r="D18" s="12" t="inlineStr">
        <is>
          <t>Calculated</t>
        </is>
      </c>
      <c r="E18" s="7" t="n"/>
      <c r="F18" s="7" t="n"/>
      <c r="G18" s="7" t="n"/>
      <c r="H18" s="7" t="n"/>
      <c r="I18" s="7" t="n"/>
    </row>
    <row r="19" ht="42" customHeight="1">
      <c r="A19" s="7" t="inlineStr">
        <is>
          <t>Vendor paid hours</t>
        </is>
      </c>
      <c r="B19" s="7">
        <f>MAX(0,B6-B15)*B7</f>
        <v/>
      </c>
      <c r="C19" s="7" t="inlineStr">
        <is>
          <t>hours/worker</t>
        </is>
      </c>
      <c r="D19" s="12" t="inlineStr">
        <is>
          <t>Calculated after assumed delay</t>
        </is>
      </c>
      <c r="E19" s="7" t="n"/>
      <c r="F19" s="7" t="n"/>
      <c r="G19" s="7" t="n"/>
      <c r="H19" s="7" t="n"/>
      <c r="I19" s="7" t="n"/>
    </row>
    <row r="20" ht="42" customHeight="1">
      <c r="A20" s="7" t="inlineStr">
        <is>
          <t>Vendor effective hours</t>
        </is>
      </c>
      <c r="B20" s="7">
        <f>B19*(1-B8)*B9</f>
        <v/>
      </c>
      <c r="C20" s="7" t="inlineStr">
        <is>
          <t>role-hours/worker</t>
        </is>
      </c>
      <c r="D20" s="12" t="inlineStr">
        <is>
          <t>Calculated</t>
        </is>
      </c>
      <c r="E20" s="7" t="n"/>
      <c r="F20" s="7" t="n"/>
      <c r="G20" s="7" t="n"/>
      <c r="H20" s="7" t="n"/>
      <c r="I20" s="7" t="n"/>
    </row>
    <row r="21" ht="42" customHeight="1">
      <c r="A21" s="7" t="inlineStr">
        <is>
          <t>Source case</t>
        </is>
      </c>
      <c r="B21" s="7" t="inlineStr">
        <is>
          <t>Case 9.7</t>
        </is>
      </c>
      <c r="C21" s="7" t="inlineStr">
        <is>
          <t>P001–P232</t>
        </is>
      </c>
      <c r="D21" s="12" t="inlineStr">
        <is>
          <t>Original narrative retained</t>
        </is>
      </c>
      <c r="E21" s="7" t="n"/>
      <c r="F21" s="7" t="n"/>
      <c r="G21" s="7" t="n"/>
      <c r="H21" s="7" t="n"/>
      <c r="I21" s="7" t="n"/>
    </row>
    <row r="22" ht="42" customHeight="1">
      <c r="A22" s="7" t="inlineStr">
        <is>
          <t>Scope</t>
        </is>
      </c>
      <c r="B22" s="7" t="inlineStr">
        <is>
          <t>One pilot</t>
        </is>
      </c>
      <c r="C22" s="7" t="inlineStr">
        <is>
          <t>four weeks</t>
        </is>
      </c>
      <c r="D22" s="12" t="inlineStr">
        <is>
          <t>Do not extrapolate to 8,400 staff or 600 positions</t>
        </is>
      </c>
      <c r="E22" s="7" t="n"/>
      <c r="F22" s="7" t="n"/>
      <c r="G22" s="7" t="n"/>
      <c r="H22" s="7" t="n"/>
      <c r="I22" s="7" t="n"/>
    </row>
    <row r="23" ht="32" customHeight="1">
      <c r="A23" s="7" t="n"/>
      <c r="B23" s="30" t="inlineStr">
        <is>
          <t>Allocation rule</t>
        </is>
      </c>
      <c r="C23" s="30" t="inlineStr">
        <is>
          <t>Release flags start at 0</t>
        </is>
      </c>
      <c r="D23" s="30" t="inlineStr">
        <is>
          <t>Do not treat theoretical capacity as approved deployment; change only with named owner evidence.</t>
        </is>
      </c>
      <c r="E23" s="7" t="n"/>
      <c r="F23" s="7" t="n"/>
      <c r="G23" s="7" t="n"/>
      <c r="H23" s="7" t="n"/>
      <c r="I23" s="7" t="n"/>
    </row>
    <row r="24" ht="32" customHeight="1">
      <c r="A24" s="7" t="n"/>
      <c r="B24" s="30" t="inlineStr">
        <is>
          <t>Recommended scenario</t>
        </is>
      </c>
      <c r="C24" s="30" t="inlineStr">
        <is>
          <t>Workflow 2 + duplicate 0</t>
        </is>
      </c>
      <c r="D24" s="30" t="inlineStr">
        <is>
          <t>Conditional only: bounded authority and single-output receiver acceptance required.</t>
        </is>
      </c>
      <c r="E24" s="7" t="n"/>
      <c r="F24" s="7" t="n"/>
      <c r="G24" s="7" t="n"/>
      <c r="H24" s="7" t="n"/>
      <c r="I24" s="7" t="n"/>
    </row>
    <row r="25" ht="58" customHeight="1">
      <c r="A25" s="14" t="inlineStr">
        <is>
          <t>Role</t>
        </is>
      </c>
      <c r="B25" s="14" t="inlineStr">
        <is>
          <t>Pool people</t>
        </is>
      </c>
      <c r="C25" s="14" t="inlineStr">
        <is>
          <t>Legacy h/person</t>
        </is>
      </c>
      <c r="D25" s="14" t="inlineStr">
        <is>
          <t>Volume</t>
        </is>
      </c>
      <c r="E25" s="14" t="inlineStr">
        <is>
          <t>Hours/unit</t>
        </is>
      </c>
      <c r="F25" s="14" t="inlineStr">
        <is>
          <t>Retained coord h</t>
        </is>
      </c>
      <c r="G25" s="14" t="inlineStr">
        <is>
          <t>Bounded coord h</t>
        </is>
      </c>
      <c r="H25" s="14" t="inlineStr">
        <is>
          <t>Vendor INR/hour</t>
        </is>
      </c>
      <c r="I25" s="14" t="inlineStr">
        <is>
          <t>Source</t>
        </is>
      </c>
    </row>
    <row r="26" ht="28" customHeight="1">
      <c r="A26" s="7" t="inlineStr">
        <is>
          <t>Engineering</t>
        </is>
      </c>
      <c r="B26" s="7" t="n">
        <v>20</v>
      </c>
      <c r="C26" s="7" t="n">
        <v>96</v>
      </c>
      <c r="D26" s="7" t="n">
        <v>120</v>
      </c>
      <c r="E26" s="7" t="n">
        <v>4</v>
      </c>
      <c r="F26" s="7" t="n">
        <v>160</v>
      </c>
      <c r="G26" s="7" t="n">
        <v>80</v>
      </c>
      <c r="H26" s="7" t="n">
        <v>1000</v>
      </c>
      <c r="I26" s="7" t="inlineStr">
        <is>
          <t>Q5.03–Q5.07</t>
        </is>
      </c>
    </row>
    <row r="27" ht="28" customHeight="1">
      <c r="A27" s="7" t="inlineStr">
        <is>
          <t>Analytics</t>
        </is>
      </c>
      <c r="B27" s="7" t="n">
        <v>12</v>
      </c>
      <c r="C27" s="7" t="n">
        <v>80</v>
      </c>
      <c r="D27" s="7" t="n">
        <v>80</v>
      </c>
      <c r="E27" s="7" t="n">
        <v>4</v>
      </c>
      <c r="F27" s="7" t="n">
        <v>96</v>
      </c>
      <c r="G27" s="7" t="n">
        <v>48</v>
      </c>
      <c r="H27" s="7" t="n">
        <v>900</v>
      </c>
      <c r="I27" s="7" t="inlineStr">
        <is>
          <t>Q5.03–Q5.07</t>
        </is>
      </c>
    </row>
    <row r="28" ht="28" customHeight="1">
      <c r="A28" s="7" t="inlineStr">
        <is>
          <t>Operations</t>
        </is>
      </c>
      <c r="B28" s="7" t="n">
        <v>8</v>
      </c>
      <c r="C28" s="7" t="n">
        <v>96</v>
      </c>
      <c r="D28" s="7" t="n">
        <v>60</v>
      </c>
      <c r="E28" s="7" t="n">
        <v>3</v>
      </c>
      <c r="F28" s="7" t="n">
        <v>64</v>
      </c>
      <c r="G28" s="7" t="n">
        <v>32</v>
      </c>
      <c r="H28" s="7" t="n">
        <v>600</v>
      </c>
      <c r="I28" s="7" t="inlineStr">
        <is>
          <t>Q5.03–Q5.07</t>
        </is>
      </c>
    </row>
    <row r="29" ht="28" customHeight="1">
      <c r="A29" s="7" t="inlineStr">
        <is>
          <t>Data preparation</t>
        </is>
      </c>
      <c r="B29" s="7" t="n">
        <v>6</v>
      </c>
      <c r="C29" s="7" t="n">
        <v>96</v>
      </c>
      <c r="D29" s="7" t="n">
        <v>60</v>
      </c>
      <c r="E29" s="7" t="n">
        <v>4</v>
      </c>
      <c r="F29" s="7" t="n">
        <v>64</v>
      </c>
      <c r="G29" s="7" t="n">
        <v>32</v>
      </c>
      <c r="H29" s="7" t="n">
        <v>550</v>
      </c>
      <c r="I29" s="7" t="inlineStr">
        <is>
          <t>Q5.03–Q5.07</t>
        </is>
      </c>
    </row>
    <row r="30" ht="28" customHeight="1">
      <c r="A30" s="7" t="inlineStr">
        <is>
          <t>Quality assurance</t>
        </is>
      </c>
      <c r="B30" s="7" t="n">
        <v>6</v>
      </c>
      <c r="C30" s="7" t="n">
        <v>96</v>
      </c>
      <c r="D30" s="7" t="n">
        <v>80</v>
      </c>
      <c r="E30" s="7" t="n">
        <v>3</v>
      </c>
      <c r="F30" s="7" t="n">
        <v>48</v>
      </c>
      <c r="G30" s="7" t="n">
        <v>24</v>
      </c>
      <c r="H30" s="7" t="n">
        <v>800</v>
      </c>
      <c r="I30" s="7" t="inlineStr">
        <is>
          <t>Q5.03–Q5.07</t>
        </is>
      </c>
    </row>
    <row r="31" ht="28" customHeight="1">
      <c r="A31" s="7" t="inlineStr">
        <is>
          <t>Legacy experts</t>
        </is>
      </c>
      <c r="B31" s="7" t="n">
        <v>8</v>
      </c>
      <c r="C31" s="7" t="n">
        <v>112</v>
      </c>
      <c r="D31" s="7" t="n">
        <v>40</v>
      </c>
      <c r="E31" s="7" t="n">
        <v>4</v>
      </c>
      <c r="F31" s="7" t="n">
        <v>64</v>
      </c>
      <c r="G31" s="7" t="n">
        <v>32</v>
      </c>
      <c r="H31" s="7" t="n">
        <v>1000</v>
      </c>
      <c r="I31" s="7" t="inlineStr">
        <is>
          <t>Q5.03–Q5.07</t>
        </is>
      </c>
    </row>
  </sheetData>
  <dataValidations count="2">
    <dataValidation sqref="B13" showDropDown="0" showInputMessage="0" showErrorMessage="0" allowBlank="0" type="list">
      <formula1>"1,2"</formula1>
    </dataValidation>
    <dataValidation sqref="B14" showDropDown="0" showInputMessage="0" showErrorMessage="0" allowBlank="0" type="list">
      <formula1>"0,1"</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24"/>
  <sheetViews>
    <sheetView showGridLines="0" workbookViewId="0">
      <pane xSplit="1" ySplit="5" topLeftCell="B6" activePane="bottomRight" state="frozen"/>
      <selection activeCell="A1" sqref="A1"/>
    </sheetView>
  </sheetViews>
  <sheetFormatPr baseColWidth="8" defaultRowHeight="15"/>
  <cols>
    <col width="28" customWidth="1" min="1" max="1"/>
    <col width="38"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s>
  <sheetData>
    <row r="1"/>
    <row r="2" ht="28" customHeight="1">
      <c r="A2" s="9" t="inlineStr">
        <is>
          <t>Role calculations — demand, released supply, gap and cost</t>
        </is>
      </c>
      <c r="B2" s="7" t="n"/>
      <c r="C2" s="7" t="n"/>
      <c r="D2" s="7" t="n"/>
      <c r="E2" s="7" t="n"/>
      <c r="F2" s="7" t="n"/>
      <c r="G2" s="7" t="n"/>
      <c r="H2" s="7" t="n"/>
      <c r="I2" s="7" t="n"/>
      <c r="J2" s="7" t="n"/>
      <c r="K2" s="7" t="n"/>
      <c r="L2" s="7" t="n"/>
      <c r="M2" s="7" t="n"/>
      <c r="N2" s="7" t="n"/>
      <c r="O2" s="7" t="n"/>
    </row>
    <row r="3" ht="28" customHeight="1">
      <c r="A3" s="7" t="n"/>
      <c r="B3" s="7" t="n"/>
      <c r="C3" s="7" t="n"/>
      <c r="D3" s="7" t="n"/>
      <c r="E3" s="7" t="n"/>
      <c r="F3" s="7" t="n"/>
      <c r="G3" s="7" t="n"/>
      <c r="H3" s="7" t="n"/>
      <c r="I3" s="7" t="n"/>
      <c r="J3" s="7" t="n"/>
      <c r="K3" s="7" t="n"/>
      <c r="L3" s="7" t="n"/>
      <c r="M3" s="7" t="n"/>
      <c r="N3" s="7" t="n"/>
      <c r="O3" s="7" t="n"/>
    </row>
    <row r="4" ht="28" customHeight="1">
      <c r="A4" s="7" t="n"/>
      <c r="B4" s="7" t="n"/>
      <c r="C4" s="7" t="n"/>
      <c r="D4" s="7" t="n"/>
      <c r="E4" s="7" t="n"/>
      <c r="F4" s="7" t="n"/>
      <c r="G4" s="7" t="n"/>
      <c r="H4" s="7" t="n"/>
      <c r="I4" s="7" t="n"/>
      <c r="J4" s="7" t="n"/>
      <c r="K4" s="7" t="n"/>
      <c r="L4" s="7" t="n"/>
      <c r="M4" s="7" t="n"/>
      <c r="N4" s="7" t="n"/>
      <c r="O4" s="7" t="n"/>
    </row>
    <row r="5" ht="58" customHeight="1">
      <c r="A5" s="14" t="inlineStr">
        <is>
          <t>Role</t>
        </is>
      </c>
      <c r="B5" s="14" t="inlineStr">
        <is>
          <t>Task h</t>
        </is>
      </c>
      <c r="C5" s="14" t="inlineStr">
        <is>
          <t>Coord h</t>
        </is>
      </c>
      <c r="D5" s="14" t="inlineStr">
        <is>
          <t>Extra h</t>
        </is>
      </c>
      <c r="E5" s="14" t="inlineStr">
        <is>
          <t>Pilot demand h</t>
        </is>
      </c>
      <c r="F5" s="14" t="inlineStr">
        <is>
          <t>Legacy h</t>
        </is>
      </c>
      <c r="G5" s="14" t="inlineStr">
        <is>
          <t>Available pilot h</t>
        </is>
      </c>
      <c r="H5" s="14" t="inlineStr">
        <is>
          <t>Approved assigned h</t>
        </is>
      </c>
      <c r="I5" s="14" t="inlineStr">
        <is>
          <t>Gap vs supply h</t>
        </is>
      </c>
      <c r="J5" s="14" t="inlineStr">
        <is>
          <t>Gap vs assignment h</t>
        </is>
      </c>
      <c r="K5" s="14" t="inlineStr">
        <is>
          <t>Gross FTE</t>
        </is>
      </c>
      <c r="L5" s="14" t="inlineStr">
        <is>
          <t>Whole positions</t>
        </is>
      </c>
      <c r="M5" s="14" t="inlineStr">
        <is>
          <t>Vendor workers</t>
        </is>
      </c>
      <c r="N5" s="14" t="inlineStr">
        <is>
          <t>Vendor cost INR</t>
        </is>
      </c>
      <c r="O5" s="14" t="inlineStr">
        <is>
          <t>Unfilled after vendor h</t>
        </is>
      </c>
    </row>
    <row r="6" ht="28" customHeight="1">
      <c r="A6" s="7">
        <f>Inputs!A26</f>
        <v/>
      </c>
      <c r="B6" s="7">
        <f>Inputs!D26*Inputs!E26+IF(A6="Data preparation",240*Inputs!$B$14,0)</f>
        <v/>
      </c>
      <c r="C6" s="7">
        <f>IF(Inputs!$B$13=1,Inputs!F26,Inputs!G26)</f>
        <v/>
      </c>
      <c r="D6" s="7">
        <f>Inputs!$B$16</f>
        <v/>
      </c>
      <c r="E6" s="7">
        <f>SUM(B6:D6)</f>
        <v/>
      </c>
      <c r="F6" s="7">
        <f>Inputs!B26*Inputs!C26</f>
        <v/>
      </c>
      <c r="G6" s="7">
        <f>Inputs!B26*MAX(0,Inputs!$B$18-Inputs!C26)</f>
        <v/>
      </c>
      <c r="H6" s="7">
        <f>SUMIF('Employee allocations'!$B$6:$B$65,A6,'Employee allocations'!$K$6:$K$65)</f>
        <v/>
      </c>
      <c r="I6" s="7">
        <f>MAX(0,E6-G6)</f>
        <v/>
      </c>
      <c r="J6" s="7">
        <f>MAX(0,E6-H6)</f>
        <v/>
      </c>
      <c r="K6" s="7">
        <f>(F6+E6)/Inputs!$B$18</f>
        <v/>
      </c>
      <c r="L6" s="7">
        <f>ROUNDUP(K6,0)</f>
        <v/>
      </c>
      <c r="M6" s="7">
        <f>IF(Inputs!$B$20&gt;0,ROUNDUP(J6/Inputs!$B$20,0),0)</f>
        <v/>
      </c>
      <c r="N6" s="27">
        <f>M6*Inputs!$B$19*Inputs!H26</f>
        <v/>
      </c>
      <c r="O6" s="7">
        <f>MAX(0,J6-M6*Inputs!$B$20)</f>
        <v/>
      </c>
    </row>
    <row r="7" ht="28" customHeight="1">
      <c r="A7" s="7">
        <f>Inputs!A27</f>
        <v/>
      </c>
      <c r="B7" s="7">
        <f>Inputs!D27*Inputs!E27+IF(A7="Data preparation",240*Inputs!$B$14,0)</f>
        <v/>
      </c>
      <c r="C7" s="7">
        <f>IF(Inputs!$B$13=1,Inputs!F27,Inputs!G27)</f>
        <v/>
      </c>
      <c r="D7" s="7">
        <f>Inputs!$B$16</f>
        <v/>
      </c>
      <c r="E7" s="7">
        <f>SUM(B7:D7)</f>
        <v/>
      </c>
      <c r="F7" s="7">
        <f>Inputs!B27*Inputs!C27</f>
        <v/>
      </c>
      <c r="G7" s="7">
        <f>Inputs!B27*MAX(0,Inputs!$B$18-Inputs!C27)</f>
        <v/>
      </c>
      <c r="H7" s="7">
        <f>SUMIF('Employee allocations'!$B$6:$B$65,A7,'Employee allocations'!$K$6:$K$65)</f>
        <v/>
      </c>
      <c r="I7" s="7">
        <f>MAX(0,E7-G7)</f>
        <v/>
      </c>
      <c r="J7" s="7">
        <f>MAX(0,E7-H7)</f>
        <v/>
      </c>
      <c r="K7" s="7">
        <f>(F7+E7)/Inputs!$B$18</f>
        <v/>
      </c>
      <c r="L7" s="7">
        <f>ROUNDUP(K7,0)</f>
        <v/>
      </c>
      <c r="M7" s="7">
        <f>IF(Inputs!$B$20&gt;0,ROUNDUP(J7/Inputs!$B$20,0),0)</f>
        <v/>
      </c>
      <c r="N7" s="27">
        <f>M7*Inputs!$B$19*Inputs!H27</f>
        <v/>
      </c>
      <c r="O7" s="7">
        <f>MAX(0,J7-M7*Inputs!$B$20)</f>
        <v/>
      </c>
    </row>
    <row r="8" ht="28" customHeight="1">
      <c r="A8" s="7">
        <f>Inputs!A28</f>
        <v/>
      </c>
      <c r="B8" s="7">
        <f>Inputs!D28*Inputs!E28+IF(A8="Data preparation",240*Inputs!$B$14,0)</f>
        <v/>
      </c>
      <c r="C8" s="7">
        <f>IF(Inputs!$B$13=1,Inputs!F28,Inputs!G28)</f>
        <v/>
      </c>
      <c r="D8" s="7">
        <f>Inputs!$B$16</f>
        <v/>
      </c>
      <c r="E8" s="7">
        <f>SUM(B8:D8)</f>
        <v/>
      </c>
      <c r="F8" s="7">
        <f>Inputs!B28*Inputs!C28</f>
        <v/>
      </c>
      <c r="G8" s="7">
        <f>Inputs!B28*MAX(0,Inputs!$B$18-Inputs!C28)</f>
        <v/>
      </c>
      <c r="H8" s="7">
        <f>SUMIF('Employee allocations'!$B$6:$B$65,A8,'Employee allocations'!$K$6:$K$65)</f>
        <v/>
      </c>
      <c r="I8" s="7">
        <f>MAX(0,E8-G8)</f>
        <v/>
      </c>
      <c r="J8" s="7">
        <f>MAX(0,E8-H8)</f>
        <v/>
      </c>
      <c r="K8" s="7">
        <f>(F8+E8)/Inputs!$B$18</f>
        <v/>
      </c>
      <c r="L8" s="7">
        <f>ROUNDUP(K8,0)</f>
        <v/>
      </c>
      <c r="M8" s="7">
        <f>IF(Inputs!$B$20&gt;0,ROUNDUP(J8/Inputs!$B$20,0),0)</f>
        <v/>
      </c>
      <c r="N8" s="27">
        <f>M8*Inputs!$B$19*Inputs!H28</f>
        <v/>
      </c>
      <c r="O8" s="7">
        <f>MAX(0,J8-M8*Inputs!$B$20)</f>
        <v/>
      </c>
    </row>
    <row r="9" ht="28" customHeight="1">
      <c r="A9" s="7">
        <f>Inputs!A29</f>
        <v/>
      </c>
      <c r="B9" s="7">
        <f>Inputs!D29*Inputs!E29+IF(A9="Data preparation",240*Inputs!$B$14,0)</f>
        <v/>
      </c>
      <c r="C9" s="7">
        <f>IF(Inputs!$B$13=1,Inputs!F29,Inputs!G29)</f>
        <v/>
      </c>
      <c r="D9" s="7">
        <f>Inputs!$B$16</f>
        <v/>
      </c>
      <c r="E9" s="7">
        <f>SUM(B9:D9)</f>
        <v/>
      </c>
      <c r="F9" s="7">
        <f>Inputs!B29*Inputs!C29</f>
        <v/>
      </c>
      <c r="G9" s="7">
        <f>Inputs!B29*MAX(0,Inputs!$B$18-Inputs!C29)</f>
        <v/>
      </c>
      <c r="H9" s="7">
        <f>SUMIF('Employee allocations'!$B$6:$B$65,A9,'Employee allocations'!$K$6:$K$65)</f>
        <v/>
      </c>
      <c r="I9" s="7">
        <f>MAX(0,E9-G9)</f>
        <v/>
      </c>
      <c r="J9" s="7">
        <f>MAX(0,E9-H9)</f>
        <v/>
      </c>
      <c r="K9" s="7">
        <f>(F9+E9)/Inputs!$B$18</f>
        <v/>
      </c>
      <c r="L9" s="7">
        <f>ROUNDUP(K9,0)</f>
        <v/>
      </c>
      <c r="M9" s="7">
        <f>IF(Inputs!$B$20&gt;0,ROUNDUP(J9/Inputs!$B$20,0),0)</f>
        <v/>
      </c>
      <c r="N9" s="27">
        <f>M9*Inputs!$B$19*Inputs!H29</f>
        <v/>
      </c>
      <c r="O9" s="7">
        <f>MAX(0,J9-M9*Inputs!$B$20)</f>
        <v/>
      </c>
    </row>
    <row r="10" ht="28" customHeight="1">
      <c r="A10" s="7">
        <f>Inputs!A30</f>
        <v/>
      </c>
      <c r="B10" s="7">
        <f>Inputs!D30*Inputs!E30+IF(A10="Data preparation",240*Inputs!$B$14,0)</f>
        <v/>
      </c>
      <c r="C10" s="7">
        <f>IF(Inputs!$B$13=1,Inputs!F30,Inputs!G30)</f>
        <v/>
      </c>
      <c r="D10" s="7">
        <f>Inputs!$B$16</f>
        <v/>
      </c>
      <c r="E10" s="7">
        <f>SUM(B10:D10)</f>
        <v/>
      </c>
      <c r="F10" s="7">
        <f>Inputs!B30*Inputs!C30</f>
        <v/>
      </c>
      <c r="G10" s="7">
        <f>Inputs!B30*MAX(0,Inputs!$B$18-Inputs!C30)</f>
        <v/>
      </c>
      <c r="H10" s="7">
        <f>SUMIF('Employee allocations'!$B$6:$B$65,A10,'Employee allocations'!$K$6:$K$65)</f>
        <v/>
      </c>
      <c r="I10" s="7">
        <f>MAX(0,E10-G10)</f>
        <v/>
      </c>
      <c r="J10" s="7">
        <f>MAX(0,E10-H10)</f>
        <v/>
      </c>
      <c r="K10" s="7">
        <f>(F10+E10)/Inputs!$B$18</f>
        <v/>
      </c>
      <c r="L10" s="7">
        <f>ROUNDUP(K10,0)</f>
        <v/>
      </c>
      <c r="M10" s="7">
        <f>IF(Inputs!$B$20&gt;0,ROUNDUP(J10/Inputs!$B$20,0),0)</f>
        <v/>
      </c>
      <c r="N10" s="27">
        <f>M10*Inputs!$B$19*Inputs!H30</f>
        <v/>
      </c>
      <c r="O10" s="7">
        <f>MAX(0,J10-M10*Inputs!$B$20)</f>
        <v/>
      </c>
    </row>
    <row r="11" ht="28" customHeight="1">
      <c r="A11" s="7">
        <f>Inputs!A31</f>
        <v/>
      </c>
      <c r="B11" s="7">
        <f>Inputs!D31*Inputs!E31+IF(A11="Data preparation",240*Inputs!$B$14,0)</f>
        <v/>
      </c>
      <c r="C11" s="7">
        <f>IF(Inputs!$B$13=1,Inputs!F31,Inputs!G31)</f>
        <v/>
      </c>
      <c r="D11" s="7">
        <f>Inputs!$B$16</f>
        <v/>
      </c>
      <c r="E11" s="7">
        <f>SUM(B11:D11)</f>
        <v/>
      </c>
      <c r="F11" s="7">
        <f>Inputs!B31*Inputs!C31</f>
        <v/>
      </c>
      <c r="G11" s="7">
        <f>Inputs!B31*MAX(0,Inputs!$B$18-Inputs!C31)</f>
        <v/>
      </c>
      <c r="H11" s="7">
        <f>SUMIF('Employee allocations'!$B$6:$B$65,A11,'Employee allocations'!$K$6:$K$65)</f>
        <v/>
      </c>
      <c r="I11" s="7">
        <f>MAX(0,E11-G11)</f>
        <v/>
      </c>
      <c r="J11" s="7">
        <f>MAX(0,E11-H11)</f>
        <v/>
      </c>
      <c r="K11" s="7">
        <f>(F11+E11)/Inputs!$B$18</f>
        <v/>
      </c>
      <c r="L11" s="7">
        <f>ROUNDUP(K11,0)</f>
        <v/>
      </c>
      <c r="M11" s="7">
        <f>IF(Inputs!$B$20&gt;0,ROUNDUP(J11/Inputs!$B$20,0),0)</f>
        <v/>
      </c>
      <c r="N11" s="27">
        <f>M11*Inputs!$B$19*Inputs!H31</f>
        <v/>
      </c>
      <c r="O11" s="7">
        <f>MAX(0,J11-M11*Inputs!$B$20)</f>
        <v/>
      </c>
    </row>
    <row r="12" ht="28" customHeight="1">
      <c r="A12" s="7" t="n"/>
      <c r="B12" s="7" t="n"/>
      <c r="C12" s="7" t="n"/>
      <c r="D12" s="7" t="n"/>
      <c r="E12" s="7" t="n"/>
      <c r="F12" s="7" t="n"/>
      <c r="G12" s="7" t="n"/>
      <c r="H12" s="7" t="n"/>
      <c r="I12" s="7" t="n"/>
      <c r="J12" s="7" t="n"/>
      <c r="K12" s="7" t="n"/>
      <c r="L12" s="7" t="n"/>
      <c r="M12" s="7" t="n"/>
      <c r="N12" s="27" t="n"/>
      <c r="O12" s="7" t="n"/>
    </row>
    <row r="13" ht="28" customHeight="1">
      <c r="A13" s="7" t="inlineStr">
        <is>
          <t>Total flexible roles</t>
        </is>
      </c>
      <c r="B13" s="7">
        <f>SUM(B6:B11)</f>
        <v/>
      </c>
      <c r="C13" s="7">
        <f>SUM(C6:C11)</f>
        <v/>
      </c>
      <c r="D13" s="7">
        <f>SUM(D6:D11)</f>
        <v/>
      </c>
      <c r="E13" s="7">
        <f>SUM(E6:E11)</f>
        <v/>
      </c>
      <c r="F13" s="7">
        <f>SUM(F6:F11)</f>
        <v/>
      </c>
      <c r="G13" s="7">
        <f>SUM(G6:G11)</f>
        <v/>
      </c>
      <c r="H13" s="7">
        <f>SUM(H6:H11)</f>
        <v/>
      </c>
      <c r="I13" s="7">
        <f>SUM(I6:I11)</f>
        <v/>
      </c>
      <c r="J13" s="7">
        <f>SUM(J6:J11)</f>
        <v/>
      </c>
      <c r="K13" s="7">
        <f>SUM(K6:K11)</f>
        <v/>
      </c>
      <c r="L13" s="7">
        <f>SUM(L6:L11)</f>
        <v/>
      </c>
      <c r="M13" s="7">
        <f>SUM(M6:M11)</f>
        <v/>
      </c>
      <c r="N13" s="27">
        <f>SUM(N6:N11)</f>
        <v/>
      </c>
      <c r="O13" s="7">
        <f>SUM(O6:O11)</f>
        <v/>
      </c>
    </row>
    <row r="14" ht="28" customHeight="1">
      <c r="A14" s="7" t="n"/>
      <c r="B14" s="7" t="n"/>
      <c r="C14" s="7" t="n"/>
      <c r="D14" s="7" t="n"/>
      <c r="E14" s="7" t="n"/>
      <c r="F14" s="7" t="n"/>
      <c r="G14" s="7" t="n"/>
      <c r="H14" s="7" t="n"/>
      <c r="I14" s="7" t="n"/>
      <c r="J14" s="7" t="n"/>
      <c r="K14" s="7" t="n"/>
      <c r="L14" s="7" t="n"/>
      <c r="M14" s="7" t="n"/>
      <c r="N14" s="7" t="n"/>
      <c r="O14" s="7" t="n"/>
    </row>
    <row r="15" ht="28" customHeight="1">
      <c r="A15" s="7" t="n"/>
      <c r="B15" s="7" t="n"/>
      <c r="C15" s="7" t="n"/>
      <c r="D15" s="7" t="n"/>
      <c r="E15" s="7" t="n"/>
      <c r="F15" s="7" t="n"/>
      <c r="G15" s="7" t="n"/>
      <c r="H15" s="7" t="n"/>
      <c r="I15" s="7" t="n"/>
      <c r="J15" s="7" t="n"/>
      <c r="K15" s="7" t="n"/>
      <c r="L15" s="7" t="n"/>
      <c r="M15" s="7" t="n"/>
      <c r="N15" s="7" t="n"/>
      <c r="O15" s="7" t="n"/>
    </row>
    <row r="16" ht="28" customHeight="1">
      <c r="A16" s="7" t="inlineStr">
        <is>
          <t>Vendor budget balance</t>
        </is>
      </c>
      <c r="B16" s="7">
        <f>Inputs!B10-N13-Inputs!B17</f>
        <v/>
      </c>
      <c r="C16" s="7" t="n"/>
      <c r="D16" s="7" t="n"/>
      <c r="E16" s="7" t="n"/>
      <c r="F16" s="7" t="n"/>
      <c r="G16" s="7" t="n"/>
      <c r="H16" s="7" t="n"/>
      <c r="I16" s="7" t="n"/>
      <c r="J16" s="7" t="n"/>
      <c r="K16" s="7" t="n"/>
      <c r="L16" s="7" t="n"/>
      <c r="M16" s="7" t="n"/>
      <c r="N16" s="7" t="n"/>
      <c r="O16" s="7" t="n"/>
    </row>
    <row r="17" ht="28" customHeight="1">
      <c r="A17" s="7" t="inlineStr">
        <is>
          <t>Vendor people limit</t>
        </is>
      </c>
      <c r="B17" s="7">
        <f>Inputs!B11-M13</f>
        <v/>
      </c>
      <c r="C17" s="7" t="n"/>
      <c r="D17" s="7" t="n"/>
      <c r="E17" s="7" t="n"/>
      <c r="F17" s="7" t="n"/>
      <c r="G17" s="7" t="n"/>
      <c r="H17" s="7" t="n"/>
      <c r="I17" s="7" t="n"/>
      <c r="J17" s="7" t="n"/>
      <c r="K17" s="7" t="n"/>
      <c r="L17" s="7" t="n"/>
      <c r="M17" s="7" t="n"/>
      <c r="N17" s="7" t="n"/>
      <c r="O17" s="7" t="n"/>
    </row>
    <row r="18" ht="28" customHeight="1">
      <c r="A18" s="7" t="inlineStr">
        <is>
          <t>Capacity breach h</t>
        </is>
      </c>
      <c r="B18" s="7">
        <f>SUM('Employee allocations'!L6:L65)</f>
        <v/>
      </c>
      <c r="C18" s="7" t="n"/>
      <c r="D18" s="7" t="n"/>
      <c r="E18" s="7" t="n"/>
      <c r="F18" s="7" t="n"/>
      <c r="G18" s="7" t="n"/>
      <c r="H18" s="7" t="n"/>
      <c r="I18" s="7" t="n"/>
      <c r="J18" s="7" t="n"/>
      <c r="K18" s="7" t="n"/>
      <c r="L18" s="7" t="n"/>
      <c r="M18" s="7" t="n"/>
      <c r="N18" s="7" t="n"/>
      <c r="O18" s="7" t="n"/>
    </row>
    <row r="19" ht="28" customHeight="1">
      <c r="A19" s="7" t="inlineStr">
        <is>
          <t>Unfilled pilot work h</t>
        </is>
      </c>
      <c r="B19" s="7">
        <f>O13</f>
        <v/>
      </c>
      <c r="C19" s="7" t="n"/>
      <c r="D19" s="7" t="n"/>
      <c r="E19" s="7" t="n"/>
      <c r="F19" s="7" t="n"/>
      <c r="G19" s="7" t="n"/>
      <c r="H19" s="7" t="n"/>
      <c r="I19" s="7" t="n"/>
      <c r="J19" s="7" t="n"/>
      <c r="K19" s="7" t="n"/>
      <c r="L19" s="7" t="n"/>
      <c r="M19" s="7" t="n"/>
      <c r="N19" s="7" t="n"/>
      <c r="O19" s="7" t="n"/>
    </row>
    <row r="20" ht="28" customHeight="1">
      <c r="A20" s="7" t="inlineStr">
        <is>
          <t>Governance pilot h</t>
        </is>
      </c>
      <c r="B20" s="7" t="n">
        <v>64</v>
      </c>
      <c r="C20" s="7" t="n"/>
      <c r="D20" s="7" t="n"/>
      <c r="E20" s="7" t="n"/>
      <c r="F20" s="7" t="n"/>
      <c r="G20" s="7" t="n"/>
      <c r="H20" s="7" t="n"/>
      <c r="I20" s="7" t="n"/>
      <c r="J20" s="7" t="n"/>
      <c r="K20" s="7" t="n"/>
      <c r="L20" s="7" t="n"/>
      <c r="M20" s="7" t="n"/>
      <c r="N20" s="7" t="n"/>
      <c r="O20" s="7" t="n"/>
    </row>
    <row r="21" ht="28" customHeight="1">
      <c r="A21" s="7" t="inlineStr">
        <is>
          <t>Governance people</t>
        </is>
      </c>
      <c r="B21" s="7" t="n">
        <v>4</v>
      </c>
      <c r="C21" s="7" t="n"/>
      <c r="D21" s="7" t="n"/>
      <c r="E21" s="7" t="n"/>
      <c r="F21" s="7" t="n"/>
      <c r="G21" s="7" t="n"/>
      <c r="H21" s="7" t="n"/>
      <c r="I21" s="7" t="n"/>
      <c r="J21" s="7" t="n"/>
      <c r="K21" s="7" t="n"/>
      <c r="L21" s="7" t="n"/>
      <c r="M21" s="7" t="n"/>
      <c r="N21" s="7" t="n"/>
      <c r="O21" s="7" t="n"/>
    </row>
    <row r="22" ht="28" customHeight="1">
      <c r="A22" s="7" t="inlineStr">
        <is>
          <t>Plan status</t>
        </is>
      </c>
      <c r="B22" s="7">
        <f>IF(B18&gt;0,"Capacity breach",IF(B19&gt;0,"Unfilled work",IF(OR(B16&lt;0,B17&lt;0),"Over budget/limit","Numerically feasible; approvals need verification")))</f>
        <v/>
      </c>
      <c r="C22" s="7" t="n"/>
      <c r="D22" s="7" t="n"/>
      <c r="E22" s="7" t="n"/>
      <c r="F22" s="7" t="n"/>
      <c r="G22" s="7" t="n"/>
      <c r="H22" s="7" t="n"/>
      <c r="I22" s="7" t="n"/>
      <c r="J22" s="7" t="n"/>
      <c r="K22" s="7" t="n"/>
      <c r="L22" s="7" t="n"/>
      <c r="M22" s="7" t="n"/>
      <c r="N22" s="7" t="n"/>
      <c r="O22" s="7" t="n"/>
    </row>
    <row r="23" ht="100" customHeight="1">
      <c r="A23" s="7" t="inlineStr">
        <is>
          <t>Shortage interpretation</t>
        </is>
      </c>
      <c r="B23" s="12" t="inlineStr">
        <is>
          <t>Gap vs supply assumes release. Gap vs assignment uses approved allocated hours. Sum positive gaps by role.</t>
        </is>
      </c>
      <c r="C23" s="7" t="n"/>
      <c r="D23" s="7" t="n"/>
      <c r="E23" s="7" t="n"/>
      <c r="F23" s="7" t="n"/>
      <c r="G23" s="7" t="n"/>
      <c r="H23" s="7" t="n"/>
      <c r="I23" s="7" t="n"/>
      <c r="J23" s="7" t="n"/>
      <c r="K23" s="7" t="n"/>
      <c r="L23" s="7" t="n"/>
      <c r="M23" s="7" t="n"/>
      <c r="N23" s="7" t="n"/>
      <c r="O23" s="7" t="n"/>
    </row>
    <row r="24" ht="100" customHeight="1">
      <c r="A24" s="7" t="inlineStr">
        <is>
          <t>FTE distinction</t>
        </is>
      </c>
      <c r="B24" s="12" t="inlineStr">
        <is>
          <t>Gross FTE includes retained+pilot work; whole positions round separately by role. These are not new recruits.</t>
        </is>
      </c>
      <c r="C24" s="7" t="n"/>
      <c r="D24" s="7" t="n"/>
      <c r="E24" s="7" t="n"/>
      <c r="F24" s="7" t="n"/>
      <c r="G24" s="7" t="n"/>
      <c r="H24" s="7" t="n"/>
      <c r="I24" s="7" t="n"/>
      <c r="J24" s="7" t="n"/>
      <c r="K24" s="7" t="n"/>
      <c r="L24" s="7" t="n"/>
      <c r="M24" s="7" t="n"/>
      <c r="N24" s="7" t="n"/>
      <c r="O24" s="7"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65"/>
  <sheetViews>
    <sheetView showGridLines="0" workbookViewId="0">
      <pane xSplit="2" ySplit="5" topLeftCell="C6" activePane="bottomRight" state="frozen"/>
      <selection activeCell="A1" sqref="A1"/>
    </sheetView>
  </sheetViews>
  <sheetFormatPr baseColWidth="8" defaultRowHeight="15"/>
  <cols>
    <col width="20" customWidth="1" min="1" max="1"/>
    <col width="25"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46" customWidth="1" min="14" max="14"/>
  </cols>
  <sheetData>
    <row r="1"/>
    <row r="2" ht="28" customHeight="1">
      <c r="A2" s="9" t="inlineStr">
        <is>
          <t>Named employee allocation — preserve legacy service commitments</t>
        </is>
      </c>
      <c r="B2" s="7" t="n"/>
      <c r="C2" s="7" t="n"/>
      <c r="D2" s="7" t="n"/>
      <c r="E2" s="7" t="n"/>
      <c r="F2" s="7" t="n"/>
      <c r="G2" s="7" t="n"/>
      <c r="H2" s="7" t="n"/>
      <c r="I2" s="7" t="n"/>
      <c r="J2" s="7" t="n"/>
      <c r="K2" s="7" t="n"/>
      <c r="L2" s="7" t="n"/>
      <c r="M2" s="7" t="n"/>
      <c r="N2" s="7" t="n"/>
    </row>
    <row r="3" ht="28" customHeight="1">
      <c r="A3" s="7" t="n"/>
      <c r="B3" s="7" t="n"/>
      <c r="C3" s="7" t="n"/>
      <c r="D3" s="7" t="n"/>
      <c r="E3" s="7" t="n"/>
      <c r="F3" s="7" t="n"/>
      <c r="G3" s="7" t="n"/>
      <c r="H3" s="7" t="n"/>
      <c r="I3" s="7" t="n"/>
      <c r="J3" s="7" t="n"/>
      <c r="K3" s="7" t="n"/>
      <c r="L3" s="7" t="n"/>
      <c r="M3" s="7" t="n"/>
      <c r="N3" s="7" t="n"/>
    </row>
    <row r="4" ht="28" customHeight="1">
      <c r="A4" s="7" t="n"/>
      <c r="B4" s="7" t="n"/>
      <c r="C4" s="7" t="n"/>
      <c r="D4" s="7" t="n"/>
      <c r="E4" s="7" t="n"/>
      <c r="F4" s="7" t="n"/>
      <c r="G4" s="7" t="n"/>
      <c r="H4" s="7" t="n"/>
      <c r="I4" s="7" t="n"/>
      <c r="J4" s="7" t="n"/>
      <c r="K4" s="7" t="n"/>
      <c r="L4" s="7" t="n"/>
      <c r="M4" s="7" t="n"/>
      <c r="N4" s="7" t="n"/>
    </row>
    <row r="5" ht="58" customHeight="1">
      <c r="A5" s="14" t="inlineStr">
        <is>
          <t>Employee ID</t>
        </is>
      </c>
      <c r="B5" s="14" t="inlineStr">
        <is>
          <t>Role</t>
        </is>
      </c>
      <c r="C5" s="14" t="inlineStr">
        <is>
          <t>Legacy h</t>
        </is>
      </c>
      <c r="D5" s="14" t="inlineStr">
        <is>
          <t>Productive h</t>
        </is>
      </c>
      <c r="E5" s="14" t="inlineStr">
        <is>
          <t>Available h</t>
        </is>
      </c>
      <c r="F5" s="14" t="inlineStr">
        <is>
          <t>UF h</t>
        </is>
      </c>
      <c r="G5" s="14" t="inlineStr">
        <is>
          <t>UP h</t>
        </is>
      </c>
      <c r="H5" s="14" t="inlineStr">
        <is>
          <t>UR h</t>
        </is>
      </c>
      <c r="I5" s="14" t="inlineStr">
        <is>
          <t>Assigned h</t>
        </is>
      </c>
      <c r="J5" s="14" t="inlineStr">
        <is>
          <t>Release approved 1/0</t>
        </is>
      </c>
      <c r="K5" s="14" t="inlineStr">
        <is>
          <t>Usable approved h</t>
        </is>
      </c>
      <c r="L5" s="14" t="inlineStr">
        <is>
          <t>Capacity breach h</t>
        </is>
      </c>
      <c r="M5" s="14" t="inlineStr">
        <is>
          <t>Unassigned h</t>
        </is>
      </c>
      <c r="N5" s="14" t="inlineStr">
        <is>
          <t>Release owner / evidence</t>
        </is>
      </c>
    </row>
    <row r="6" ht="28" customHeight="1">
      <c r="A6" s="7" t="inlineStr">
        <is>
          <t>E01</t>
        </is>
      </c>
      <c r="B6" s="7" t="inlineStr">
        <is>
          <t>Engineering</t>
        </is>
      </c>
      <c r="C6" s="7" t="n">
        <v>96</v>
      </c>
      <c r="D6" s="7">
        <f>Inputs!$B$18</f>
        <v/>
      </c>
      <c r="E6" s="7">
        <f>MAX(0,D6-C6)</f>
        <v/>
      </c>
      <c r="F6" s="11" t="n">
        <v>0</v>
      </c>
      <c r="G6" s="11" t="n">
        <v>0</v>
      </c>
      <c r="H6" s="11" t="n">
        <v>0</v>
      </c>
      <c r="I6" s="7">
        <f>SUM(F6:H6)</f>
        <v/>
      </c>
      <c r="J6" s="11" t="n">
        <v>0</v>
      </c>
      <c r="K6" s="7">
        <f>MIN(I6,E6)*J6</f>
        <v/>
      </c>
      <c r="L6" s="7">
        <f>MAX(0,I6-E6)</f>
        <v/>
      </c>
      <c r="M6" s="7">
        <f>MAX(0,E6-I6)</f>
        <v/>
      </c>
      <c r="N6" s="31" t="inlineStr">
        <is>
          <t>Not approved in case data; keep J=0 until named manager documents release and service cover.</t>
        </is>
      </c>
    </row>
    <row r="7" ht="28" customHeight="1">
      <c r="A7" s="7" t="inlineStr">
        <is>
          <t>E02</t>
        </is>
      </c>
      <c r="B7" s="7" t="inlineStr">
        <is>
          <t>Engineering</t>
        </is>
      </c>
      <c r="C7" s="7" t="n">
        <v>96</v>
      </c>
      <c r="D7" s="7">
        <f>Inputs!$B$18</f>
        <v/>
      </c>
      <c r="E7" s="7">
        <f>MAX(0,D7-C7)</f>
        <v/>
      </c>
      <c r="F7" s="11" t="n">
        <v>0</v>
      </c>
      <c r="G7" s="11" t="n">
        <v>0</v>
      </c>
      <c r="H7" s="11" t="n">
        <v>0</v>
      </c>
      <c r="I7" s="7">
        <f>SUM(F7:H7)</f>
        <v/>
      </c>
      <c r="J7" s="11" t="n">
        <v>0</v>
      </c>
      <c r="K7" s="7">
        <f>MIN(I7,E7)*J7</f>
        <v/>
      </c>
      <c r="L7" s="7">
        <f>MAX(0,I7-E7)</f>
        <v/>
      </c>
      <c r="M7" s="7">
        <f>MAX(0,E7-I7)</f>
        <v/>
      </c>
      <c r="N7" s="31" t="inlineStr">
        <is>
          <t>Not approved in case data; keep J=0 until named manager documents release and service cover.</t>
        </is>
      </c>
    </row>
    <row r="8" ht="28" customHeight="1">
      <c r="A8" s="7" t="inlineStr">
        <is>
          <t>E03</t>
        </is>
      </c>
      <c r="B8" s="7" t="inlineStr">
        <is>
          <t>Engineering</t>
        </is>
      </c>
      <c r="C8" s="7" t="n">
        <v>96</v>
      </c>
      <c r="D8" s="7">
        <f>Inputs!$B$18</f>
        <v/>
      </c>
      <c r="E8" s="7">
        <f>MAX(0,D8-C8)</f>
        <v/>
      </c>
      <c r="F8" s="11" t="n">
        <v>0</v>
      </c>
      <c r="G8" s="11" t="n">
        <v>0</v>
      </c>
      <c r="H8" s="11" t="n">
        <v>0</v>
      </c>
      <c r="I8" s="7">
        <f>SUM(F8:H8)</f>
        <v/>
      </c>
      <c r="J8" s="11" t="n">
        <v>0</v>
      </c>
      <c r="K8" s="7">
        <f>MIN(I8,E8)*J8</f>
        <v/>
      </c>
      <c r="L8" s="7">
        <f>MAX(0,I8-E8)</f>
        <v/>
      </c>
      <c r="M8" s="7">
        <f>MAX(0,E8-I8)</f>
        <v/>
      </c>
      <c r="N8" s="31" t="inlineStr">
        <is>
          <t>Not approved in case data; keep J=0 until named manager documents release and service cover.</t>
        </is>
      </c>
    </row>
    <row r="9" ht="28" customHeight="1">
      <c r="A9" s="7" t="inlineStr">
        <is>
          <t>E04</t>
        </is>
      </c>
      <c r="B9" s="7" t="inlineStr">
        <is>
          <t>Engineering</t>
        </is>
      </c>
      <c r="C9" s="7" t="n">
        <v>96</v>
      </c>
      <c r="D9" s="7">
        <f>Inputs!$B$18</f>
        <v/>
      </c>
      <c r="E9" s="7">
        <f>MAX(0,D9-C9)</f>
        <v/>
      </c>
      <c r="F9" s="11" t="n">
        <v>0</v>
      </c>
      <c r="G9" s="11" t="n">
        <v>0</v>
      </c>
      <c r="H9" s="11" t="n">
        <v>0</v>
      </c>
      <c r="I9" s="7">
        <f>SUM(F9:H9)</f>
        <v/>
      </c>
      <c r="J9" s="11" t="n">
        <v>0</v>
      </c>
      <c r="K9" s="7">
        <f>MIN(I9,E9)*J9</f>
        <v/>
      </c>
      <c r="L9" s="7">
        <f>MAX(0,I9-E9)</f>
        <v/>
      </c>
      <c r="M9" s="7">
        <f>MAX(0,E9-I9)</f>
        <v/>
      </c>
      <c r="N9" s="31" t="inlineStr">
        <is>
          <t>Not approved in case data; keep J=0 until named manager documents release and service cover.</t>
        </is>
      </c>
    </row>
    <row r="10" ht="28" customHeight="1">
      <c r="A10" s="7" t="inlineStr">
        <is>
          <t>E05</t>
        </is>
      </c>
      <c r="B10" s="7" t="inlineStr">
        <is>
          <t>Engineering</t>
        </is>
      </c>
      <c r="C10" s="7" t="n">
        <v>96</v>
      </c>
      <c r="D10" s="7">
        <f>Inputs!$B$18</f>
        <v/>
      </c>
      <c r="E10" s="7">
        <f>MAX(0,D10-C10)</f>
        <v/>
      </c>
      <c r="F10" s="11" t="n">
        <v>0</v>
      </c>
      <c r="G10" s="11" t="n">
        <v>0</v>
      </c>
      <c r="H10" s="11" t="n">
        <v>0</v>
      </c>
      <c r="I10" s="7">
        <f>SUM(F10:H10)</f>
        <v/>
      </c>
      <c r="J10" s="11" t="n">
        <v>0</v>
      </c>
      <c r="K10" s="7">
        <f>MIN(I10,E10)*J10</f>
        <v/>
      </c>
      <c r="L10" s="7">
        <f>MAX(0,I10-E10)</f>
        <v/>
      </c>
      <c r="M10" s="7">
        <f>MAX(0,E10-I10)</f>
        <v/>
      </c>
      <c r="N10" s="31" t="inlineStr">
        <is>
          <t>Not approved in case data; keep J=0 until named manager documents release and service cover.</t>
        </is>
      </c>
    </row>
    <row r="11" ht="28" customHeight="1">
      <c r="A11" s="7" t="inlineStr">
        <is>
          <t>E06</t>
        </is>
      </c>
      <c r="B11" s="7" t="inlineStr">
        <is>
          <t>Engineering</t>
        </is>
      </c>
      <c r="C11" s="7" t="n">
        <v>96</v>
      </c>
      <c r="D11" s="7">
        <f>Inputs!$B$18</f>
        <v/>
      </c>
      <c r="E11" s="7">
        <f>MAX(0,D11-C11)</f>
        <v/>
      </c>
      <c r="F11" s="11" t="n">
        <v>0</v>
      </c>
      <c r="G11" s="11" t="n">
        <v>0</v>
      </c>
      <c r="H11" s="11" t="n">
        <v>0</v>
      </c>
      <c r="I11" s="7">
        <f>SUM(F11:H11)</f>
        <v/>
      </c>
      <c r="J11" s="11" t="n">
        <v>0</v>
      </c>
      <c r="K11" s="7">
        <f>MIN(I11,E11)*J11</f>
        <v/>
      </c>
      <c r="L11" s="7">
        <f>MAX(0,I11-E11)</f>
        <v/>
      </c>
      <c r="M11" s="7">
        <f>MAX(0,E11-I11)</f>
        <v/>
      </c>
      <c r="N11" s="31" t="inlineStr">
        <is>
          <t>Not approved in case data; keep J=0 until named manager documents release and service cover.</t>
        </is>
      </c>
    </row>
    <row r="12" ht="28" customHeight="1">
      <c r="A12" s="7" t="inlineStr">
        <is>
          <t>E07</t>
        </is>
      </c>
      <c r="B12" s="7" t="inlineStr">
        <is>
          <t>Engineering</t>
        </is>
      </c>
      <c r="C12" s="7" t="n">
        <v>96</v>
      </c>
      <c r="D12" s="7">
        <f>Inputs!$B$18</f>
        <v/>
      </c>
      <c r="E12" s="7">
        <f>MAX(0,D12-C12)</f>
        <v/>
      </c>
      <c r="F12" s="11" t="n">
        <v>0</v>
      </c>
      <c r="G12" s="11" t="n">
        <v>0</v>
      </c>
      <c r="H12" s="11" t="n">
        <v>0</v>
      </c>
      <c r="I12" s="7">
        <f>SUM(F12:H12)</f>
        <v/>
      </c>
      <c r="J12" s="11" t="n">
        <v>0</v>
      </c>
      <c r="K12" s="7">
        <f>MIN(I12,E12)*J12</f>
        <v/>
      </c>
      <c r="L12" s="7">
        <f>MAX(0,I12-E12)</f>
        <v/>
      </c>
      <c r="M12" s="7">
        <f>MAX(0,E12-I12)</f>
        <v/>
      </c>
      <c r="N12" s="31" t="inlineStr">
        <is>
          <t>Not approved in case data; keep J=0 until named manager documents release and service cover.</t>
        </is>
      </c>
    </row>
    <row r="13" ht="28" customHeight="1">
      <c r="A13" s="7" t="inlineStr">
        <is>
          <t>E08</t>
        </is>
      </c>
      <c r="B13" s="7" t="inlineStr">
        <is>
          <t>Engineering</t>
        </is>
      </c>
      <c r="C13" s="7" t="n">
        <v>96</v>
      </c>
      <c r="D13" s="7">
        <f>Inputs!$B$18</f>
        <v/>
      </c>
      <c r="E13" s="7">
        <f>MAX(0,D13-C13)</f>
        <v/>
      </c>
      <c r="F13" s="11" t="n">
        <v>0</v>
      </c>
      <c r="G13" s="11" t="n">
        <v>0</v>
      </c>
      <c r="H13" s="11" t="n">
        <v>0</v>
      </c>
      <c r="I13" s="7">
        <f>SUM(F13:H13)</f>
        <v/>
      </c>
      <c r="J13" s="11" t="n">
        <v>0</v>
      </c>
      <c r="K13" s="7">
        <f>MIN(I13,E13)*J13</f>
        <v/>
      </c>
      <c r="L13" s="7">
        <f>MAX(0,I13-E13)</f>
        <v/>
      </c>
      <c r="M13" s="7">
        <f>MAX(0,E13-I13)</f>
        <v/>
      </c>
      <c r="N13" s="31" t="inlineStr">
        <is>
          <t>Not approved in case data; keep J=0 until named manager documents release and service cover.</t>
        </is>
      </c>
    </row>
    <row r="14" ht="28" customHeight="1">
      <c r="A14" s="7" t="inlineStr">
        <is>
          <t>E09</t>
        </is>
      </c>
      <c r="B14" s="7" t="inlineStr">
        <is>
          <t>Engineering</t>
        </is>
      </c>
      <c r="C14" s="7" t="n">
        <v>96</v>
      </c>
      <c r="D14" s="7">
        <f>Inputs!$B$18</f>
        <v/>
      </c>
      <c r="E14" s="7">
        <f>MAX(0,D14-C14)</f>
        <v/>
      </c>
      <c r="F14" s="11" t="n">
        <v>0</v>
      </c>
      <c r="G14" s="11" t="n">
        <v>0</v>
      </c>
      <c r="H14" s="11" t="n">
        <v>0</v>
      </c>
      <c r="I14" s="7">
        <f>SUM(F14:H14)</f>
        <v/>
      </c>
      <c r="J14" s="11" t="n">
        <v>0</v>
      </c>
      <c r="K14" s="7">
        <f>MIN(I14,E14)*J14</f>
        <v/>
      </c>
      <c r="L14" s="7">
        <f>MAX(0,I14-E14)</f>
        <v/>
      </c>
      <c r="M14" s="7">
        <f>MAX(0,E14-I14)</f>
        <v/>
      </c>
      <c r="N14" s="31" t="inlineStr">
        <is>
          <t>Not approved in case data; keep J=0 until named manager documents release and service cover.</t>
        </is>
      </c>
    </row>
    <row r="15" ht="28" customHeight="1">
      <c r="A15" s="7" t="inlineStr">
        <is>
          <t>E10</t>
        </is>
      </c>
      <c r="B15" s="7" t="inlineStr">
        <is>
          <t>Engineering</t>
        </is>
      </c>
      <c r="C15" s="7" t="n">
        <v>96</v>
      </c>
      <c r="D15" s="7">
        <f>Inputs!$B$18</f>
        <v/>
      </c>
      <c r="E15" s="7">
        <f>MAX(0,D15-C15)</f>
        <v/>
      </c>
      <c r="F15" s="11" t="n">
        <v>0</v>
      </c>
      <c r="G15" s="11" t="n">
        <v>0</v>
      </c>
      <c r="H15" s="11" t="n">
        <v>0</v>
      </c>
      <c r="I15" s="7">
        <f>SUM(F15:H15)</f>
        <v/>
      </c>
      <c r="J15" s="11" t="n">
        <v>0</v>
      </c>
      <c r="K15" s="7">
        <f>MIN(I15,E15)*J15</f>
        <v/>
      </c>
      <c r="L15" s="7">
        <f>MAX(0,I15-E15)</f>
        <v/>
      </c>
      <c r="M15" s="7">
        <f>MAX(0,E15-I15)</f>
        <v/>
      </c>
      <c r="N15" s="31" t="inlineStr">
        <is>
          <t>Not approved in case data; keep J=0 until named manager documents release and service cover.</t>
        </is>
      </c>
    </row>
    <row r="16" ht="28" customHeight="1">
      <c r="A16" s="7" t="inlineStr">
        <is>
          <t>E11</t>
        </is>
      </c>
      <c r="B16" s="7" t="inlineStr">
        <is>
          <t>Engineering</t>
        </is>
      </c>
      <c r="C16" s="7" t="n">
        <v>96</v>
      </c>
      <c r="D16" s="7">
        <f>Inputs!$B$18</f>
        <v/>
      </c>
      <c r="E16" s="7">
        <f>MAX(0,D16-C16)</f>
        <v/>
      </c>
      <c r="F16" s="11" t="n">
        <v>0</v>
      </c>
      <c r="G16" s="11" t="n">
        <v>0</v>
      </c>
      <c r="H16" s="11" t="n">
        <v>0</v>
      </c>
      <c r="I16" s="7">
        <f>SUM(F16:H16)</f>
        <v/>
      </c>
      <c r="J16" s="11" t="n">
        <v>0</v>
      </c>
      <c r="K16" s="7">
        <f>MIN(I16,E16)*J16</f>
        <v/>
      </c>
      <c r="L16" s="7">
        <f>MAX(0,I16-E16)</f>
        <v/>
      </c>
      <c r="M16" s="7">
        <f>MAX(0,E16-I16)</f>
        <v/>
      </c>
      <c r="N16" s="31" t="inlineStr">
        <is>
          <t>Not approved in case data; keep J=0 until named manager documents release and service cover.</t>
        </is>
      </c>
    </row>
    <row r="17" ht="28" customHeight="1">
      <c r="A17" s="7" t="inlineStr">
        <is>
          <t>E12</t>
        </is>
      </c>
      <c r="B17" s="7" t="inlineStr">
        <is>
          <t>Engineering</t>
        </is>
      </c>
      <c r="C17" s="7" t="n">
        <v>96</v>
      </c>
      <c r="D17" s="7">
        <f>Inputs!$B$18</f>
        <v/>
      </c>
      <c r="E17" s="7">
        <f>MAX(0,D17-C17)</f>
        <v/>
      </c>
      <c r="F17" s="11" t="n">
        <v>0</v>
      </c>
      <c r="G17" s="11" t="n">
        <v>0</v>
      </c>
      <c r="H17" s="11" t="n">
        <v>0</v>
      </c>
      <c r="I17" s="7">
        <f>SUM(F17:H17)</f>
        <v/>
      </c>
      <c r="J17" s="11" t="n">
        <v>0</v>
      </c>
      <c r="K17" s="7">
        <f>MIN(I17,E17)*J17</f>
        <v/>
      </c>
      <c r="L17" s="7">
        <f>MAX(0,I17-E17)</f>
        <v/>
      </c>
      <c r="M17" s="7">
        <f>MAX(0,E17-I17)</f>
        <v/>
      </c>
      <c r="N17" s="31" t="inlineStr">
        <is>
          <t>Not approved in case data; keep J=0 until named manager documents release and service cover.</t>
        </is>
      </c>
    </row>
    <row r="18" ht="28" customHeight="1">
      <c r="A18" s="7" t="inlineStr">
        <is>
          <t>E13</t>
        </is>
      </c>
      <c r="B18" s="7" t="inlineStr">
        <is>
          <t>Engineering</t>
        </is>
      </c>
      <c r="C18" s="7" t="n">
        <v>96</v>
      </c>
      <c r="D18" s="7">
        <f>Inputs!$B$18</f>
        <v/>
      </c>
      <c r="E18" s="7">
        <f>MAX(0,D18-C18)</f>
        <v/>
      </c>
      <c r="F18" s="11" t="n">
        <v>0</v>
      </c>
      <c r="G18" s="11" t="n">
        <v>0</v>
      </c>
      <c r="H18" s="11" t="n">
        <v>0</v>
      </c>
      <c r="I18" s="7">
        <f>SUM(F18:H18)</f>
        <v/>
      </c>
      <c r="J18" s="11" t="n">
        <v>0</v>
      </c>
      <c r="K18" s="7">
        <f>MIN(I18,E18)*J18</f>
        <v/>
      </c>
      <c r="L18" s="7">
        <f>MAX(0,I18-E18)</f>
        <v/>
      </c>
      <c r="M18" s="7">
        <f>MAX(0,E18-I18)</f>
        <v/>
      </c>
      <c r="N18" s="31" t="inlineStr">
        <is>
          <t>Not approved in case data; keep J=0 until named manager documents release and service cover.</t>
        </is>
      </c>
    </row>
    <row r="19" ht="28" customHeight="1">
      <c r="A19" s="7" t="inlineStr">
        <is>
          <t>E14</t>
        </is>
      </c>
      <c r="B19" s="7" t="inlineStr">
        <is>
          <t>Engineering</t>
        </is>
      </c>
      <c r="C19" s="7" t="n">
        <v>96</v>
      </c>
      <c r="D19" s="7">
        <f>Inputs!$B$18</f>
        <v/>
      </c>
      <c r="E19" s="7">
        <f>MAX(0,D19-C19)</f>
        <v/>
      </c>
      <c r="F19" s="11" t="n">
        <v>0</v>
      </c>
      <c r="G19" s="11" t="n">
        <v>0</v>
      </c>
      <c r="H19" s="11" t="n">
        <v>0</v>
      </c>
      <c r="I19" s="7">
        <f>SUM(F19:H19)</f>
        <v/>
      </c>
      <c r="J19" s="11" t="n">
        <v>0</v>
      </c>
      <c r="K19" s="7">
        <f>MIN(I19,E19)*J19</f>
        <v/>
      </c>
      <c r="L19" s="7">
        <f>MAX(0,I19-E19)</f>
        <v/>
      </c>
      <c r="M19" s="7">
        <f>MAX(0,E19-I19)</f>
        <v/>
      </c>
      <c r="N19" s="31" t="inlineStr">
        <is>
          <t>Not approved in case data; keep J=0 until named manager documents release and service cover.</t>
        </is>
      </c>
    </row>
    <row r="20" ht="28" customHeight="1">
      <c r="A20" s="7" t="inlineStr">
        <is>
          <t>E15</t>
        </is>
      </c>
      <c r="B20" s="7" t="inlineStr">
        <is>
          <t>Engineering</t>
        </is>
      </c>
      <c r="C20" s="7" t="n">
        <v>96</v>
      </c>
      <c r="D20" s="7">
        <f>Inputs!$B$18</f>
        <v/>
      </c>
      <c r="E20" s="7">
        <f>MAX(0,D20-C20)</f>
        <v/>
      </c>
      <c r="F20" s="11" t="n">
        <v>0</v>
      </c>
      <c r="G20" s="11" t="n">
        <v>0</v>
      </c>
      <c r="H20" s="11" t="n">
        <v>0</v>
      </c>
      <c r="I20" s="7">
        <f>SUM(F20:H20)</f>
        <v/>
      </c>
      <c r="J20" s="11" t="n">
        <v>0</v>
      </c>
      <c r="K20" s="7">
        <f>MIN(I20,E20)*J20</f>
        <v/>
      </c>
      <c r="L20" s="7">
        <f>MAX(0,I20-E20)</f>
        <v/>
      </c>
      <c r="M20" s="7">
        <f>MAX(0,E20-I20)</f>
        <v/>
      </c>
      <c r="N20" s="31" t="inlineStr">
        <is>
          <t>Not approved in case data; keep J=0 until named manager documents release and service cover.</t>
        </is>
      </c>
    </row>
    <row r="21" ht="28" customHeight="1">
      <c r="A21" s="7" t="inlineStr">
        <is>
          <t>E16</t>
        </is>
      </c>
      <c r="B21" s="7" t="inlineStr">
        <is>
          <t>Engineering</t>
        </is>
      </c>
      <c r="C21" s="7" t="n">
        <v>96</v>
      </c>
      <c r="D21" s="7">
        <f>Inputs!$B$18</f>
        <v/>
      </c>
      <c r="E21" s="7">
        <f>MAX(0,D21-C21)</f>
        <v/>
      </c>
      <c r="F21" s="11" t="n">
        <v>0</v>
      </c>
      <c r="G21" s="11" t="n">
        <v>0</v>
      </c>
      <c r="H21" s="11" t="n">
        <v>0</v>
      </c>
      <c r="I21" s="7">
        <f>SUM(F21:H21)</f>
        <v/>
      </c>
      <c r="J21" s="11" t="n">
        <v>0</v>
      </c>
      <c r="K21" s="7">
        <f>MIN(I21,E21)*J21</f>
        <v/>
      </c>
      <c r="L21" s="7">
        <f>MAX(0,I21-E21)</f>
        <v/>
      </c>
      <c r="M21" s="7">
        <f>MAX(0,E21-I21)</f>
        <v/>
      </c>
      <c r="N21" s="31" t="inlineStr">
        <is>
          <t>Not approved in case data; keep J=0 until named manager documents release and service cover.</t>
        </is>
      </c>
    </row>
    <row r="22" ht="28" customHeight="1">
      <c r="A22" s="7" t="inlineStr">
        <is>
          <t>E17</t>
        </is>
      </c>
      <c r="B22" s="7" t="inlineStr">
        <is>
          <t>Engineering</t>
        </is>
      </c>
      <c r="C22" s="7" t="n">
        <v>96</v>
      </c>
      <c r="D22" s="7">
        <f>Inputs!$B$18</f>
        <v/>
      </c>
      <c r="E22" s="7">
        <f>MAX(0,D22-C22)</f>
        <v/>
      </c>
      <c r="F22" s="11" t="n">
        <v>0</v>
      </c>
      <c r="G22" s="11" t="n">
        <v>0</v>
      </c>
      <c r="H22" s="11" t="n">
        <v>0</v>
      </c>
      <c r="I22" s="7">
        <f>SUM(F22:H22)</f>
        <v/>
      </c>
      <c r="J22" s="11" t="n">
        <v>0</v>
      </c>
      <c r="K22" s="7">
        <f>MIN(I22,E22)*J22</f>
        <v/>
      </c>
      <c r="L22" s="7">
        <f>MAX(0,I22-E22)</f>
        <v/>
      </c>
      <c r="M22" s="7">
        <f>MAX(0,E22-I22)</f>
        <v/>
      </c>
      <c r="N22" s="31" t="inlineStr">
        <is>
          <t>Not approved in case data; keep J=0 until named manager documents release and service cover.</t>
        </is>
      </c>
    </row>
    <row r="23" ht="28" customHeight="1">
      <c r="A23" s="7" t="inlineStr">
        <is>
          <t>E18</t>
        </is>
      </c>
      <c r="B23" s="7" t="inlineStr">
        <is>
          <t>Engineering</t>
        </is>
      </c>
      <c r="C23" s="7" t="n">
        <v>96</v>
      </c>
      <c r="D23" s="7">
        <f>Inputs!$B$18</f>
        <v/>
      </c>
      <c r="E23" s="7">
        <f>MAX(0,D23-C23)</f>
        <v/>
      </c>
      <c r="F23" s="11" t="n">
        <v>0</v>
      </c>
      <c r="G23" s="11" t="n">
        <v>0</v>
      </c>
      <c r="H23" s="11" t="n">
        <v>0</v>
      </c>
      <c r="I23" s="7">
        <f>SUM(F23:H23)</f>
        <v/>
      </c>
      <c r="J23" s="11" t="n">
        <v>0</v>
      </c>
      <c r="K23" s="7">
        <f>MIN(I23,E23)*J23</f>
        <v/>
      </c>
      <c r="L23" s="7">
        <f>MAX(0,I23-E23)</f>
        <v/>
      </c>
      <c r="M23" s="7">
        <f>MAX(0,E23-I23)</f>
        <v/>
      </c>
      <c r="N23" s="31" t="inlineStr">
        <is>
          <t>Not approved in case data; keep J=0 until named manager documents release and service cover.</t>
        </is>
      </c>
    </row>
    <row r="24" ht="28" customHeight="1">
      <c r="A24" s="7" t="inlineStr">
        <is>
          <t>E19</t>
        </is>
      </c>
      <c r="B24" s="7" t="inlineStr">
        <is>
          <t>Engineering</t>
        </is>
      </c>
      <c r="C24" s="7" t="n">
        <v>96</v>
      </c>
      <c r="D24" s="7">
        <f>Inputs!$B$18</f>
        <v/>
      </c>
      <c r="E24" s="7">
        <f>MAX(0,D24-C24)</f>
        <v/>
      </c>
      <c r="F24" s="11" t="n">
        <v>0</v>
      </c>
      <c r="G24" s="11" t="n">
        <v>0</v>
      </c>
      <c r="H24" s="11" t="n">
        <v>0</v>
      </c>
      <c r="I24" s="7">
        <f>SUM(F24:H24)</f>
        <v/>
      </c>
      <c r="J24" s="11" t="n">
        <v>0</v>
      </c>
      <c r="K24" s="7">
        <f>MIN(I24,E24)*J24</f>
        <v/>
      </c>
      <c r="L24" s="7">
        <f>MAX(0,I24-E24)</f>
        <v/>
      </c>
      <c r="M24" s="7">
        <f>MAX(0,E24-I24)</f>
        <v/>
      </c>
      <c r="N24" s="31" t="inlineStr">
        <is>
          <t>Not approved in case data; keep J=0 until named manager documents release and service cover.</t>
        </is>
      </c>
    </row>
    <row r="25" ht="28" customHeight="1">
      <c r="A25" s="7" t="inlineStr">
        <is>
          <t>E20</t>
        </is>
      </c>
      <c r="B25" s="7" t="inlineStr">
        <is>
          <t>Engineering</t>
        </is>
      </c>
      <c r="C25" s="7" t="n">
        <v>96</v>
      </c>
      <c r="D25" s="7">
        <f>Inputs!$B$18</f>
        <v/>
      </c>
      <c r="E25" s="7">
        <f>MAX(0,D25-C25)</f>
        <v/>
      </c>
      <c r="F25" s="11" t="n">
        <v>0</v>
      </c>
      <c r="G25" s="11" t="n">
        <v>0</v>
      </c>
      <c r="H25" s="11" t="n">
        <v>0</v>
      </c>
      <c r="I25" s="7">
        <f>SUM(F25:H25)</f>
        <v/>
      </c>
      <c r="J25" s="11" t="n">
        <v>0</v>
      </c>
      <c r="K25" s="7">
        <f>MIN(I25,E25)*J25</f>
        <v/>
      </c>
      <c r="L25" s="7">
        <f>MAX(0,I25-E25)</f>
        <v/>
      </c>
      <c r="M25" s="7">
        <f>MAX(0,E25-I25)</f>
        <v/>
      </c>
      <c r="N25" s="31" t="inlineStr">
        <is>
          <t>Not approved in case data; keep J=0 until named manager documents release and service cover.</t>
        </is>
      </c>
    </row>
    <row r="26" ht="28" customHeight="1">
      <c r="A26" s="7" t="inlineStr">
        <is>
          <t>E21</t>
        </is>
      </c>
      <c r="B26" s="7" t="inlineStr">
        <is>
          <t>Analytics</t>
        </is>
      </c>
      <c r="C26" s="7" t="n">
        <v>80</v>
      </c>
      <c r="D26" s="7">
        <f>Inputs!$B$18</f>
        <v/>
      </c>
      <c r="E26" s="7">
        <f>MAX(0,D26-C26)</f>
        <v/>
      </c>
      <c r="F26" s="11" t="n">
        <v>0</v>
      </c>
      <c r="G26" s="11" t="n">
        <v>0</v>
      </c>
      <c r="H26" s="11" t="n">
        <v>0</v>
      </c>
      <c r="I26" s="7">
        <f>SUM(F26:H26)</f>
        <v/>
      </c>
      <c r="J26" s="11" t="n">
        <v>0</v>
      </c>
      <c r="K26" s="7">
        <f>MIN(I26,E26)*J26</f>
        <v/>
      </c>
      <c r="L26" s="7">
        <f>MAX(0,I26-E26)</f>
        <v/>
      </c>
      <c r="M26" s="7">
        <f>MAX(0,E26-I26)</f>
        <v/>
      </c>
      <c r="N26" s="31" t="inlineStr">
        <is>
          <t>Not approved in case data; keep J=0 until named manager documents release and service cover.</t>
        </is>
      </c>
    </row>
    <row r="27" ht="28" customHeight="1">
      <c r="A27" s="7" t="inlineStr">
        <is>
          <t>E22</t>
        </is>
      </c>
      <c r="B27" s="7" t="inlineStr">
        <is>
          <t>Analytics</t>
        </is>
      </c>
      <c r="C27" s="7" t="n">
        <v>80</v>
      </c>
      <c r="D27" s="7">
        <f>Inputs!$B$18</f>
        <v/>
      </c>
      <c r="E27" s="7">
        <f>MAX(0,D27-C27)</f>
        <v/>
      </c>
      <c r="F27" s="11" t="n">
        <v>0</v>
      </c>
      <c r="G27" s="11" t="n">
        <v>0</v>
      </c>
      <c r="H27" s="11" t="n">
        <v>0</v>
      </c>
      <c r="I27" s="7">
        <f>SUM(F27:H27)</f>
        <v/>
      </c>
      <c r="J27" s="11" t="n">
        <v>0</v>
      </c>
      <c r="K27" s="7">
        <f>MIN(I27,E27)*J27</f>
        <v/>
      </c>
      <c r="L27" s="7">
        <f>MAX(0,I27-E27)</f>
        <v/>
      </c>
      <c r="M27" s="7">
        <f>MAX(0,E27-I27)</f>
        <v/>
      </c>
      <c r="N27" s="31" t="inlineStr">
        <is>
          <t>Not approved in case data; keep J=0 until named manager documents release and service cover.</t>
        </is>
      </c>
    </row>
    <row r="28" ht="28" customHeight="1">
      <c r="A28" s="7" t="inlineStr">
        <is>
          <t>E23</t>
        </is>
      </c>
      <c r="B28" s="7" t="inlineStr">
        <is>
          <t>Analytics</t>
        </is>
      </c>
      <c r="C28" s="7" t="n">
        <v>80</v>
      </c>
      <c r="D28" s="7">
        <f>Inputs!$B$18</f>
        <v/>
      </c>
      <c r="E28" s="7">
        <f>MAX(0,D28-C28)</f>
        <v/>
      </c>
      <c r="F28" s="11" t="n">
        <v>0</v>
      </c>
      <c r="G28" s="11" t="n">
        <v>0</v>
      </c>
      <c r="H28" s="11" t="n">
        <v>0</v>
      </c>
      <c r="I28" s="7">
        <f>SUM(F28:H28)</f>
        <v/>
      </c>
      <c r="J28" s="11" t="n">
        <v>0</v>
      </c>
      <c r="K28" s="7">
        <f>MIN(I28,E28)*J28</f>
        <v/>
      </c>
      <c r="L28" s="7">
        <f>MAX(0,I28-E28)</f>
        <v/>
      </c>
      <c r="M28" s="7">
        <f>MAX(0,E28-I28)</f>
        <v/>
      </c>
      <c r="N28" s="31" t="inlineStr">
        <is>
          <t>Not approved in case data; keep J=0 until named manager documents release and service cover.</t>
        </is>
      </c>
    </row>
    <row r="29" ht="28" customHeight="1">
      <c r="A29" s="7" t="inlineStr">
        <is>
          <t>E24</t>
        </is>
      </c>
      <c r="B29" s="7" t="inlineStr">
        <is>
          <t>Analytics</t>
        </is>
      </c>
      <c r="C29" s="7" t="n">
        <v>80</v>
      </c>
      <c r="D29" s="7">
        <f>Inputs!$B$18</f>
        <v/>
      </c>
      <c r="E29" s="7">
        <f>MAX(0,D29-C29)</f>
        <v/>
      </c>
      <c r="F29" s="11" t="n">
        <v>0</v>
      </c>
      <c r="G29" s="11" t="n">
        <v>0</v>
      </c>
      <c r="H29" s="11" t="n">
        <v>0</v>
      </c>
      <c r="I29" s="7">
        <f>SUM(F29:H29)</f>
        <v/>
      </c>
      <c r="J29" s="11" t="n">
        <v>0</v>
      </c>
      <c r="K29" s="7">
        <f>MIN(I29,E29)*J29</f>
        <v/>
      </c>
      <c r="L29" s="7">
        <f>MAX(0,I29-E29)</f>
        <v/>
      </c>
      <c r="M29" s="7">
        <f>MAX(0,E29-I29)</f>
        <v/>
      </c>
      <c r="N29" s="31" t="inlineStr">
        <is>
          <t>Not approved in case data; keep J=0 until named manager documents release and service cover.</t>
        </is>
      </c>
    </row>
    <row r="30" ht="28" customHeight="1">
      <c r="A30" s="7" t="inlineStr">
        <is>
          <t>E25</t>
        </is>
      </c>
      <c r="B30" s="7" t="inlineStr">
        <is>
          <t>Analytics</t>
        </is>
      </c>
      <c r="C30" s="7" t="n">
        <v>80</v>
      </c>
      <c r="D30" s="7">
        <f>Inputs!$B$18</f>
        <v/>
      </c>
      <c r="E30" s="7">
        <f>MAX(0,D30-C30)</f>
        <v/>
      </c>
      <c r="F30" s="11" t="n">
        <v>0</v>
      </c>
      <c r="G30" s="11" t="n">
        <v>0</v>
      </c>
      <c r="H30" s="11" t="n">
        <v>0</v>
      </c>
      <c r="I30" s="7">
        <f>SUM(F30:H30)</f>
        <v/>
      </c>
      <c r="J30" s="11" t="n">
        <v>0</v>
      </c>
      <c r="K30" s="7">
        <f>MIN(I30,E30)*J30</f>
        <v/>
      </c>
      <c r="L30" s="7">
        <f>MAX(0,I30-E30)</f>
        <v/>
      </c>
      <c r="M30" s="7">
        <f>MAX(0,E30-I30)</f>
        <v/>
      </c>
      <c r="N30" s="31" t="inlineStr">
        <is>
          <t>Not approved in case data; keep J=0 until named manager documents release and service cover.</t>
        </is>
      </c>
    </row>
    <row r="31" ht="28" customHeight="1">
      <c r="A31" s="7" t="inlineStr">
        <is>
          <t>E26</t>
        </is>
      </c>
      <c r="B31" s="7" t="inlineStr">
        <is>
          <t>Analytics</t>
        </is>
      </c>
      <c r="C31" s="7" t="n">
        <v>80</v>
      </c>
      <c r="D31" s="7">
        <f>Inputs!$B$18</f>
        <v/>
      </c>
      <c r="E31" s="7">
        <f>MAX(0,D31-C31)</f>
        <v/>
      </c>
      <c r="F31" s="11" t="n">
        <v>0</v>
      </c>
      <c r="G31" s="11" t="n">
        <v>0</v>
      </c>
      <c r="H31" s="11" t="n">
        <v>0</v>
      </c>
      <c r="I31" s="7">
        <f>SUM(F31:H31)</f>
        <v/>
      </c>
      <c r="J31" s="11" t="n">
        <v>0</v>
      </c>
      <c r="K31" s="7">
        <f>MIN(I31,E31)*J31</f>
        <v/>
      </c>
      <c r="L31" s="7">
        <f>MAX(0,I31-E31)</f>
        <v/>
      </c>
      <c r="M31" s="7">
        <f>MAX(0,E31-I31)</f>
        <v/>
      </c>
      <c r="N31" s="31" t="inlineStr">
        <is>
          <t>Not approved in case data; keep J=0 until named manager documents release and service cover.</t>
        </is>
      </c>
    </row>
    <row r="32" ht="28" customHeight="1">
      <c r="A32" s="7" t="inlineStr">
        <is>
          <t>E27</t>
        </is>
      </c>
      <c r="B32" s="7" t="inlineStr">
        <is>
          <t>Analytics</t>
        </is>
      </c>
      <c r="C32" s="7" t="n">
        <v>80</v>
      </c>
      <c r="D32" s="7">
        <f>Inputs!$B$18</f>
        <v/>
      </c>
      <c r="E32" s="7">
        <f>MAX(0,D32-C32)</f>
        <v/>
      </c>
      <c r="F32" s="11" t="n">
        <v>0</v>
      </c>
      <c r="G32" s="11" t="n">
        <v>0</v>
      </c>
      <c r="H32" s="11" t="n">
        <v>0</v>
      </c>
      <c r="I32" s="7">
        <f>SUM(F32:H32)</f>
        <v/>
      </c>
      <c r="J32" s="11" t="n">
        <v>0</v>
      </c>
      <c r="K32" s="7">
        <f>MIN(I32,E32)*J32</f>
        <v/>
      </c>
      <c r="L32" s="7">
        <f>MAX(0,I32-E32)</f>
        <v/>
      </c>
      <c r="M32" s="7">
        <f>MAX(0,E32-I32)</f>
        <v/>
      </c>
      <c r="N32" s="31" t="inlineStr">
        <is>
          <t>Not approved in case data; keep J=0 until named manager documents release and service cover.</t>
        </is>
      </c>
    </row>
    <row r="33" ht="28" customHeight="1">
      <c r="A33" s="7" t="inlineStr">
        <is>
          <t>E28</t>
        </is>
      </c>
      <c r="B33" s="7" t="inlineStr">
        <is>
          <t>Analytics</t>
        </is>
      </c>
      <c r="C33" s="7" t="n">
        <v>80</v>
      </c>
      <c r="D33" s="7">
        <f>Inputs!$B$18</f>
        <v/>
      </c>
      <c r="E33" s="7">
        <f>MAX(0,D33-C33)</f>
        <v/>
      </c>
      <c r="F33" s="11" t="n">
        <v>0</v>
      </c>
      <c r="G33" s="11" t="n">
        <v>0</v>
      </c>
      <c r="H33" s="11" t="n">
        <v>0</v>
      </c>
      <c r="I33" s="7">
        <f>SUM(F33:H33)</f>
        <v/>
      </c>
      <c r="J33" s="11" t="n">
        <v>0</v>
      </c>
      <c r="K33" s="7">
        <f>MIN(I33,E33)*J33</f>
        <v/>
      </c>
      <c r="L33" s="7">
        <f>MAX(0,I33-E33)</f>
        <v/>
      </c>
      <c r="M33" s="7">
        <f>MAX(0,E33-I33)</f>
        <v/>
      </c>
      <c r="N33" s="31" t="inlineStr">
        <is>
          <t>Not approved in case data; keep J=0 until named manager documents release and service cover.</t>
        </is>
      </c>
    </row>
    <row r="34" ht="28" customHeight="1">
      <c r="A34" s="7" t="inlineStr">
        <is>
          <t>E29</t>
        </is>
      </c>
      <c r="B34" s="7" t="inlineStr">
        <is>
          <t>Analytics</t>
        </is>
      </c>
      <c r="C34" s="7" t="n">
        <v>80</v>
      </c>
      <c r="D34" s="7">
        <f>Inputs!$B$18</f>
        <v/>
      </c>
      <c r="E34" s="7">
        <f>MAX(0,D34-C34)</f>
        <v/>
      </c>
      <c r="F34" s="11" t="n">
        <v>0</v>
      </c>
      <c r="G34" s="11" t="n">
        <v>0</v>
      </c>
      <c r="H34" s="11" t="n">
        <v>0</v>
      </c>
      <c r="I34" s="7">
        <f>SUM(F34:H34)</f>
        <v/>
      </c>
      <c r="J34" s="11" t="n">
        <v>0</v>
      </c>
      <c r="K34" s="7">
        <f>MIN(I34,E34)*J34</f>
        <v/>
      </c>
      <c r="L34" s="7">
        <f>MAX(0,I34-E34)</f>
        <v/>
      </c>
      <c r="M34" s="7">
        <f>MAX(0,E34-I34)</f>
        <v/>
      </c>
      <c r="N34" s="31" t="inlineStr">
        <is>
          <t>Not approved in case data; keep J=0 until named manager documents release and service cover.</t>
        </is>
      </c>
    </row>
    <row r="35" ht="28" customHeight="1">
      <c r="A35" s="7" t="inlineStr">
        <is>
          <t>E30</t>
        </is>
      </c>
      <c r="B35" s="7" t="inlineStr">
        <is>
          <t>Analytics</t>
        </is>
      </c>
      <c r="C35" s="7" t="n">
        <v>80</v>
      </c>
      <c r="D35" s="7">
        <f>Inputs!$B$18</f>
        <v/>
      </c>
      <c r="E35" s="7">
        <f>MAX(0,D35-C35)</f>
        <v/>
      </c>
      <c r="F35" s="11" t="n">
        <v>0</v>
      </c>
      <c r="G35" s="11" t="n">
        <v>0</v>
      </c>
      <c r="H35" s="11" t="n">
        <v>0</v>
      </c>
      <c r="I35" s="7">
        <f>SUM(F35:H35)</f>
        <v/>
      </c>
      <c r="J35" s="11" t="n">
        <v>0</v>
      </c>
      <c r="K35" s="7">
        <f>MIN(I35,E35)*J35</f>
        <v/>
      </c>
      <c r="L35" s="7">
        <f>MAX(0,I35-E35)</f>
        <v/>
      </c>
      <c r="M35" s="7">
        <f>MAX(0,E35-I35)</f>
        <v/>
      </c>
      <c r="N35" s="31" t="inlineStr">
        <is>
          <t>Not approved in case data; keep J=0 until named manager documents release and service cover.</t>
        </is>
      </c>
    </row>
    <row r="36" ht="28" customHeight="1">
      <c r="A36" s="7" t="inlineStr">
        <is>
          <t>E31</t>
        </is>
      </c>
      <c r="B36" s="7" t="inlineStr">
        <is>
          <t>Analytics</t>
        </is>
      </c>
      <c r="C36" s="7" t="n">
        <v>80</v>
      </c>
      <c r="D36" s="7">
        <f>Inputs!$B$18</f>
        <v/>
      </c>
      <c r="E36" s="7">
        <f>MAX(0,D36-C36)</f>
        <v/>
      </c>
      <c r="F36" s="11" t="n">
        <v>0</v>
      </c>
      <c r="G36" s="11" t="n">
        <v>0</v>
      </c>
      <c r="H36" s="11" t="n">
        <v>0</v>
      </c>
      <c r="I36" s="7">
        <f>SUM(F36:H36)</f>
        <v/>
      </c>
      <c r="J36" s="11" t="n">
        <v>0</v>
      </c>
      <c r="K36" s="7">
        <f>MIN(I36,E36)*J36</f>
        <v/>
      </c>
      <c r="L36" s="7">
        <f>MAX(0,I36-E36)</f>
        <v/>
      </c>
      <c r="M36" s="7">
        <f>MAX(0,E36-I36)</f>
        <v/>
      </c>
      <c r="N36" s="31" t="inlineStr">
        <is>
          <t>Not approved in case data; keep J=0 until named manager documents release and service cover.</t>
        </is>
      </c>
    </row>
    <row r="37" ht="28" customHeight="1">
      <c r="A37" s="7" t="inlineStr">
        <is>
          <t>E32</t>
        </is>
      </c>
      <c r="B37" s="7" t="inlineStr">
        <is>
          <t>Analytics</t>
        </is>
      </c>
      <c r="C37" s="7" t="n">
        <v>80</v>
      </c>
      <c r="D37" s="7">
        <f>Inputs!$B$18</f>
        <v/>
      </c>
      <c r="E37" s="7">
        <f>MAX(0,D37-C37)</f>
        <v/>
      </c>
      <c r="F37" s="11" t="n">
        <v>0</v>
      </c>
      <c r="G37" s="11" t="n">
        <v>0</v>
      </c>
      <c r="H37" s="11" t="n">
        <v>0</v>
      </c>
      <c r="I37" s="7">
        <f>SUM(F37:H37)</f>
        <v/>
      </c>
      <c r="J37" s="11" t="n">
        <v>0</v>
      </c>
      <c r="K37" s="7">
        <f>MIN(I37,E37)*J37</f>
        <v/>
      </c>
      <c r="L37" s="7">
        <f>MAX(0,I37-E37)</f>
        <v/>
      </c>
      <c r="M37" s="7">
        <f>MAX(0,E37-I37)</f>
        <v/>
      </c>
      <c r="N37" s="31" t="inlineStr">
        <is>
          <t>Not approved in case data; keep J=0 until named manager documents release and service cover.</t>
        </is>
      </c>
    </row>
    <row r="38" ht="28" customHeight="1">
      <c r="A38" s="7" t="inlineStr">
        <is>
          <t>E33</t>
        </is>
      </c>
      <c r="B38" s="7" t="inlineStr">
        <is>
          <t>Operations</t>
        </is>
      </c>
      <c r="C38" s="7" t="n">
        <v>96</v>
      </c>
      <c r="D38" s="7">
        <f>Inputs!$B$18</f>
        <v/>
      </c>
      <c r="E38" s="7">
        <f>MAX(0,D38-C38)</f>
        <v/>
      </c>
      <c r="F38" s="11" t="n">
        <v>0</v>
      </c>
      <c r="G38" s="11" t="n">
        <v>0</v>
      </c>
      <c r="H38" s="11" t="n">
        <v>0</v>
      </c>
      <c r="I38" s="7">
        <f>SUM(F38:H38)</f>
        <v/>
      </c>
      <c r="J38" s="11" t="n">
        <v>0</v>
      </c>
      <c r="K38" s="7">
        <f>MIN(I38,E38)*J38</f>
        <v/>
      </c>
      <c r="L38" s="7">
        <f>MAX(0,I38-E38)</f>
        <v/>
      </c>
      <c r="M38" s="7">
        <f>MAX(0,E38-I38)</f>
        <v/>
      </c>
      <c r="N38" s="31" t="inlineStr">
        <is>
          <t>Not approved in case data; keep J=0 until named manager documents release and service cover.</t>
        </is>
      </c>
    </row>
    <row r="39" ht="28" customHeight="1">
      <c r="A39" s="7" t="inlineStr">
        <is>
          <t>E34</t>
        </is>
      </c>
      <c r="B39" s="7" t="inlineStr">
        <is>
          <t>Operations</t>
        </is>
      </c>
      <c r="C39" s="7" t="n">
        <v>96</v>
      </c>
      <c r="D39" s="7">
        <f>Inputs!$B$18</f>
        <v/>
      </c>
      <c r="E39" s="7">
        <f>MAX(0,D39-C39)</f>
        <v/>
      </c>
      <c r="F39" s="11" t="n">
        <v>0</v>
      </c>
      <c r="G39" s="11" t="n">
        <v>0</v>
      </c>
      <c r="H39" s="11" t="n">
        <v>0</v>
      </c>
      <c r="I39" s="7">
        <f>SUM(F39:H39)</f>
        <v/>
      </c>
      <c r="J39" s="11" t="n">
        <v>0</v>
      </c>
      <c r="K39" s="7">
        <f>MIN(I39,E39)*J39</f>
        <v/>
      </c>
      <c r="L39" s="7">
        <f>MAX(0,I39-E39)</f>
        <v/>
      </c>
      <c r="M39" s="7">
        <f>MAX(0,E39-I39)</f>
        <v/>
      </c>
      <c r="N39" s="31" t="inlineStr">
        <is>
          <t>Not approved in case data; keep J=0 until named manager documents release and service cover.</t>
        </is>
      </c>
    </row>
    <row r="40" ht="28" customHeight="1">
      <c r="A40" s="7" t="inlineStr">
        <is>
          <t>E35</t>
        </is>
      </c>
      <c r="B40" s="7" t="inlineStr">
        <is>
          <t>Operations</t>
        </is>
      </c>
      <c r="C40" s="7" t="n">
        <v>96</v>
      </c>
      <c r="D40" s="7">
        <f>Inputs!$B$18</f>
        <v/>
      </c>
      <c r="E40" s="7">
        <f>MAX(0,D40-C40)</f>
        <v/>
      </c>
      <c r="F40" s="11" t="n">
        <v>0</v>
      </c>
      <c r="G40" s="11" t="n">
        <v>0</v>
      </c>
      <c r="H40" s="11" t="n">
        <v>0</v>
      </c>
      <c r="I40" s="7">
        <f>SUM(F40:H40)</f>
        <v/>
      </c>
      <c r="J40" s="11" t="n">
        <v>0</v>
      </c>
      <c r="K40" s="7">
        <f>MIN(I40,E40)*J40</f>
        <v/>
      </c>
      <c r="L40" s="7">
        <f>MAX(0,I40-E40)</f>
        <v/>
      </c>
      <c r="M40" s="7">
        <f>MAX(0,E40-I40)</f>
        <v/>
      </c>
      <c r="N40" s="31" t="inlineStr">
        <is>
          <t>Not approved in case data; keep J=0 until named manager documents release and service cover.</t>
        </is>
      </c>
    </row>
    <row r="41" ht="28" customHeight="1">
      <c r="A41" s="7" t="inlineStr">
        <is>
          <t>E36</t>
        </is>
      </c>
      <c r="B41" s="7" t="inlineStr">
        <is>
          <t>Operations</t>
        </is>
      </c>
      <c r="C41" s="7" t="n">
        <v>96</v>
      </c>
      <c r="D41" s="7">
        <f>Inputs!$B$18</f>
        <v/>
      </c>
      <c r="E41" s="7">
        <f>MAX(0,D41-C41)</f>
        <v/>
      </c>
      <c r="F41" s="11" t="n">
        <v>0</v>
      </c>
      <c r="G41" s="11" t="n">
        <v>0</v>
      </c>
      <c r="H41" s="11" t="n">
        <v>0</v>
      </c>
      <c r="I41" s="7">
        <f>SUM(F41:H41)</f>
        <v/>
      </c>
      <c r="J41" s="11" t="n">
        <v>0</v>
      </c>
      <c r="K41" s="7">
        <f>MIN(I41,E41)*J41</f>
        <v/>
      </c>
      <c r="L41" s="7">
        <f>MAX(0,I41-E41)</f>
        <v/>
      </c>
      <c r="M41" s="7">
        <f>MAX(0,E41-I41)</f>
        <v/>
      </c>
      <c r="N41" s="31" t="inlineStr">
        <is>
          <t>Not approved in case data; keep J=0 until named manager documents release and service cover.</t>
        </is>
      </c>
    </row>
    <row r="42" ht="28" customHeight="1">
      <c r="A42" s="7" t="inlineStr">
        <is>
          <t>E37</t>
        </is>
      </c>
      <c r="B42" s="7" t="inlineStr">
        <is>
          <t>Operations</t>
        </is>
      </c>
      <c r="C42" s="7" t="n">
        <v>96</v>
      </c>
      <c r="D42" s="7">
        <f>Inputs!$B$18</f>
        <v/>
      </c>
      <c r="E42" s="7">
        <f>MAX(0,D42-C42)</f>
        <v/>
      </c>
      <c r="F42" s="11" t="n">
        <v>0</v>
      </c>
      <c r="G42" s="11" t="n">
        <v>0</v>
      </c>
      <c r="H42" s="11" t="n">
        <v>0</v>
      </c>
      <c r="I42" s="7">
        <f>SUM(F42:H42)</f>
        <v/>
      </c>
      <c r="J42" s="11" t="n">
        <v>0</v>
      </c>
      <c r="K42" s="7">
        <f>MIN(I42,E42)*J42</f>
        <v/>
      </c>
      <c r="L42" s="7">
        <f>MAX(0,I42-E42)</f>
        <v/>
      </c>
      <c r="M42" s="7">
        <f>MAX(0,E42-I42)</f>
        <v/>
      </c>
      <c r="N42" s="31" t="inlineStr">
        <is>
          <t>Not approved in case data; keep J=0 until named manager documents release and service cover.</t>
        </is>
      </c>
    </row>
    <row r="43" ht="28" customHeight="1">
      <c r="A43" s="7" t="inlineStr">
        <is>
          <t>E38</t>
        </is>
      </c>
      <c r="B43" s="7" t="inlineStr">
        <is>
          <t>Operations</t>
        </is>
      </c>
      <c r="C43" s="7" t="n">
        <v>96</v>
      </c>
      <c r="D43" s="7">
        <f>Inputs!$B$18</f>
        <v/>
      </c>
      <c r="E43" s="7">
        <f>MAX(0,D43-C43)</f>
        <v/>
      </c>
      <c r="F43" s="11" t="n">
        <v>0</v>
      </c>
      <c r="G43" s="11" t="n">
        <v>0</v>
      </c>
      <c r="H43" s="11" t="n">
        <v>0</v>
      </c>
      <c r="I43" s="7">
        <f>SUM(F43:H43)</f>
        <v/>
      </c>
      <c r="J43" s="11" t="n">
        <v>0</v>
      </c>
      <c r="K43" s="7">
        <f>MIN(I43,E43)*J43</f>
        <v/>
      </c>
      <c r="L43" s="7">
        <f>MAX(0,I43-E43)</f>
        <v/>
      </c>
      <c r="M43" s="7">
        <f>MAX(0,E43-I43)</f>
        <v/>
      </c>
      <c r="N43" s="31" t="inlineStr">
        <is>
          <t>Not approved in case data; keep J=0 until named manager documents release and service cover.</t>
        </is>
      </c>
    </row>
    <row r="44" ht="28" customHeight="1">
      <c r="A44" s="7" t="inlineStr">
        <is>
          <t>E39</t>
        </is>
      </c>
      <c r="B44" s="7" t="inlineStr">
        <is>
          <t>Operations</t>
        </is>
      </c>
      <c r="C44" s="7" t="n">
        <v>96</v>
      </c>
      <c r="D44" s="7">
        <f>Inputs!$B$18</f>
        <v/>
      </c>
      <c r="E44" s="7">
        <f>MAX(0,D44-C44)</f>
        <v/>
      </c>
      <c r="F44" s="11" t="n">
        <v>0</v>
      </c>
      <c r="G44" s="11" t="n">
        <v>0</v>
      </c>
      <c r="H44" s="11" t="n">
        <v>0</v>
      </c>
      <c r="I44" s="7">
        <f>SUM(F44:H44)</f>
        <v/>
      </c>
      <c r="J44" s="11" t="n">
        <v>0</v>
      </c>
      <c r="K44" s="7">
        <f>MIN(I44,E44)*J44</f>
        <v/>
      </c>
      <c r="L44" s="7">
        <f>MAX(0,I44-E44)</f>
        <v/>
      </c>
      <c r="M44" s="7">
        <f>MAX(0,E44-I44)</f>
        <v/>
      </c>
      <c r="N44" s="31" t="inlineStr">
        <is>
          <t>Not approved in case data; keep J=0 until named manager documents release and service cover.</t>
        </is>
      </c>
    </row>
    <row r="45" ht="28" customHeight="1">
      <c r="A45" s="7" t="inlineStr">
        <is>
          <t>E40</t>
        </is>
      </c>
      <c r="B45" s="7" t="inlineStr">
        <is>
          <t>Operations</t>
        </is>
      </c>
      <c r="C45" s="7" t="n">
        <v>96</v>
      </c>
      <c r="D45" s="7">
        <f>Inputs!$B$18</f>
        <v/>
      </c>
      <c r="E45" s="7">
        <f>MAX(0,D45-C45)</f>
        <v/>
      </c>
      <c r="F45" s="11" t="n">
        <v>0</v>
      </c>
      <c r="G45" s="11" t="n">
        <v>0</v>
      </c>
      <c r="H45" s="11" t="n">
        <v>0</v>
      </c>
      <c r="I45" s="7">
        <f>SUM(F45:H45)</f>
        <v/>
      </c>
      <c r="J45" s="11" t="n">
        <v>0</v>
      </c>
      <c r="K45" s="7">
        <f>MIN(I45,E45)*J45</f>
        <v/>
      </c>
      <c r="L45" s="7">
        <f>MAX(0,I45-E45)</f>
        <v/>
      </c>
      <c r="M45" s="7">
        <f>MAX(0,E45-I45)</f>
        <v/>
      </c>
      <c r="N45" s="31" t="inlineStr">
        <is>
          <t>Not approved in case data; keep J=0 until named manager documents release and service cover.</t>
        </is>
      </c>
    </row>
    <row r="46" ht="28" customHeight="1">
      <c r="A46" s="7" t="inlineStr">
        <is>
          <t>E41</t>
        </is>
      </c>
      <c r="B46" s="7" t="inlineStr">
        <is>
          <t>Data preparation</t>
        </is>
      </c>
      <c r="C46" s="7" t="n">
        <v>96</v>
      </c>
      <c r="D46" s="7">
        <f>Inputs!$B$18</f>
        <v/>
      </c>
      <c r="E46" s="7">
        <f>MAX(0,D46-C46)</f>
        <v/>
      </c>
      <c r="F46" s="11" t="n">
        <v>0</v>
      </c>
      <c r="G46" s="11" t="n">
        <v>0</v>
      </c>
      <c r="H46" s="11" t="n">
        <v>0</v>
      </c>
      <c r="I46" s="7">
        <f>SUM(F46:H46)</f>
        <v/>
      </c>
      <c r="J46" s="11" t="n">
        <v>0</v>
      </c>
      <c r="K46" s="7">
        <f>MIN(I46,E46)*J46</f>
        <v/>
      </c>
      <c r="L46" s="7">
        <f>MAX(0,I46-E46)</f>
        <v/>
      </c>
      <c r="M46" s="7">
        <f>MAX(0,E46-I46)</f>
        <v/>
      </c>
      <c r="N46" s="31" t="inlineStr">
        <is>
          <t>Not approved in case data; keep J=0 until named manager documents release and service cover.</t>
        </is>
      </c>
    </row>
    <row r="47" ht="28" customHeight="1">
      <c r="A47" s="7" t="inlineStr">
        <is>
          <t>E42</t>
        </is>
      </c>
      <c r="B47" s="7" t="inlineStr">
        <is>
          <t>Data preparation</t>
        </is>
      </c>
      <c r="C47" s="7" t="n">
        <v>96</v>
      </c>
      <c r="D47" s="7">
        <f>Inputs!$B$18</f>
        <v/>
      </c>
      <c r="E47" s="7">
        <f>MAX(0,D47-C47)</f>
        <v/>
      </c>
      <c r="F47" s="11" t="n">
        <v>0</v>
      </c>
      <c r="G47" s="11" t="n">
        <v>0</v>
      </c>
      <c r="H47" s="11" t="n">
        <v>0</v>
      </c>
      <c r="I47" s="7">
        <f>SUM(F47:H47)</f>
        <v/>
      </c>
      <c r="J47" s="11" t="n">
        <v>0</v>
      </c>
      <c r="K47" s="7">
        <f>MIN(I47,E47)*J47</f>
        <v/>
      </c>
      <c r="L47" s="7">
        <f>MAX(0,I47-E47)</f>
        <v/>
      </c>
      <c r="M47" s="7">
        <f>MAX(0,E47-I47)</f>
        <v/>
      </c>
      <c r="N47" s="31" t="inlineStr">
        <is>
          <t>Not approved in case data; keep J=0 until named manager documents release and service cover.</t>
        </is>
      </c>
    </row>
    <row r="48" ht="28" customHeight="1">
      <c r="A48" s="7" t="inlineStr">
        <is>
          <t>E43</t>
        </is>
      </c>
      <c r="B48" s="7" t="inlineStr">
        <is>
          <t>Data preparation</t>
        </is>
      </c>
      <c r="C48" s="7" t="n">
        <v>96</v>
      </c>
      <c r="D48" s="7">
        <f>Inputs!$B$18</f>
        <v/>
      </c>
      <c r="E48" s="7">
        <f>MAX(0,D48-C48)</f>
        <v/>
      </c>
      <c r="F48" s="11" t="n">
        <v>0</v>
      </c>
      <c r="G48" s="11" t="n">
        <v>0</v>
      </c>
      <c r="H48" s="11" t="n">
        <v>0</v>
      </c>
      <c r="I48" s="7">
        <f>SUM(F48:H48)</f>
        <v/>
      </c>
      <c r="J48" s="11" t="n">
        <v>0</v>
      </c>
      <c r="K48" s="7">
        <f>MIN(I48,E48)*J48</f>
        <v/>
      </c>
      <c r="L48" s="7">
        <f>MAX(0,I48-E48)</f>
        <v/>
      </c>
      <c r="M48" s="7">
        <f>MAX(0,E48-I48)</f>
        <v/>
      </c>
      <c r="N48" s="31" t="inlineStr">
        <is>
          <t>Not approved in case data; keep J=0 until named manager documents release and service cover.</t>
        </is>
      </c>
    </row>
    <row r="49" ht="28" customHeight="1">
      <c r="A49" s="7" t="inlineStr">
        <is>
          <t>E44</t>
        </is>
      </c>
      <c r="B49" s="7" t="inlineStr">
        <is>
          <t>Data preparation</t>
        </is>
      </c>
      <c r="C49" s="7" t="n">
        <v>96</v>
      </c>
      <c r="D49" s="7">
        <f>Inputs!$B$18</f>
        <v/>
      </c>
      <c r="E49" s="7">
        <f>MAX(0,D49-C49)</f>
        <v/>
      </c>
      <c r="F49" s="11" t="n">
        <v>0</v>
      </c>
      <c r="G49" s="11" t="n">
        <v>0</v>
      </c>
      <c r="H49" s="11" t="n">
        <v>0</v>
      </c>
      <c r="I49" s="7">
        <f>SUM(F49:H49)</f>
        <v/>
      </c>
      <c r="J49" s="11" t="n">
        <v>0</v>
      </c>
      <c r="K49" s="7">
        <f>MIN(I49,E49)*J49</f>
        <v/>
      </c>
      <c r="L49" s="7">
        <f>MAX(0,I49-E49)</f>
        <v/>
      </c>
      <c r="M49" s="7">
        <f>MAX(0,E49-I49)</f>
        <v/>
      </c>
      <c r="N49" s="31" t="inlineStr">
        <is>
          <t>Not approved in case data; keep J=0 until named manager documents release and service cover.</t>
        </is>
      </c>
    </row>
    <row r="50" ht="28" customHeight="1">
      <c r="A50" s="7" t="inlineStr">
        <is>
          <t>E45</t>
        </is>
      </c>
      <c r="B50" s="7" t="inlineStr">
        <is>
          <t>Data preparation</t>
        </is>
      </c>
      <c r="C50" s="7" t="n">
        <v>96</v>
      </c>
      <c r="D50" s="7">
        <f>Inputs!$B$18</f>
        <v/>
      </c>
      <c r="E50" s="7">
        <f>MAX(0,D50-C50)</f>
        <v/>
      </c>
      <c r="F50" s="11" t="n">
        <v>0</v>
      </c>
      <c r="G50" s="11" t="n">
        <v>0</v>
      </c>
      <c r="H50" s="11" t="n">
        <v>0</v>
      </c>
      <c r="I50" s="7">
        <f>SUM(F50:H50)</f>
        <v/>
      </c>
      <c r="J50" s="11" t="n">
        <v>0</v>
      </c>
      <c r="K50" s="7">
        <f>MIN(I50,E50)*J50</f>
        <v/>
      </c>
      <c r="L50" s="7">
        <f>MAX(0,I50-E50)</f>
        <v/>
      </c>
      <c r="M50" s="7">
        <f>MAX(0,E50-I50)</f>
        <v/>
      </c>
      <c r="N50" s="31" t="inlineStr">
        <is>
          <t>Not approved in case data; keep J=0 until named manager documents release and service cover.</t>
        </is>
      </c>
    </row>
    <row r="51" ht="28" customHeight="1">
      <c r="A51" s="7" t="inlineStr">
        <is>
          <t>E46</t>
        </is>
      </c>
      <c r="B51" s="7" t="inlineStr">
        <is>
          <t>Data preparation</t>
        </is>
      </c>
      <c r="C51" s="7" t="n">
        <v>96</v>
      </c>
      <c r="D51" s="7">
        <f>Inputs!$B$18</f>
        <v/>
      </c>
      <c r="E51" s="7">
        <f>MAX(0,D51-C51)</f>
        <v/>
      </c>
      <c r="F51" s="11" t="n">
        <v>0</v>
      </c>
      <c r="G51" s="11" t="n">
        <v>0</v>
      </c>
      <c r="H51" s="11" t="n">
        <v>0</v>
      </c>
      <c r="I51" s="7">
        <f>SUM(F51:H51)</f>
        <v/>
      </c>
      <c r="J51" s="11" t="n">
        <v>0</v>
      </c>
      <c r="K51" s="7">
        <f>MIN(I51,E51)*J51</f>
        <v/>
      </c>
      <c r="L51" s="7">
        <f>MAX(0,I51-E51)</f>
        <v/>
      </c>
      <c r="M51" s="7">
        <f>MAX(0,E51-I51)</f>
        <v/>
      </c>
      <c r="N51" s="31" t="inlineStr">
        <is>
          <t>Not approved in case data; keep J=0 until named manager documents release and service cover.</t>
        </is>
      </c>
    </row>
    <row r="52" ht="28" customHeight="1">
      <c r="A52" s="7" t="inlineStr">
        <is>
          <t>E47</t>
        </is>
      </c>
      <c r="B52" s="7" t="inlineStr">
        <is>
          <t>Quality assurance</t>
        </is>
      </c>
      <c r="C52" s="7" t="n">
        <v>96</v>
      </c>
      <c r="D52" s="7">
        <f>Inputs!$B$18</f>
        <v/>
      </c>
      <c r="E52" s="7">
        <f>MAX(0,D52-C52)</f>
        <v/>
      </c>
      <c r="F52" s="11" t="n">
        <v>0</v>
      </c>
      <c r="G52" s="11" t="n">
        <v>0</v>
      </c>
      <c r="H52" s="11" t="n">
        <v>0</v>
      </c>
      <c r="I52" s="7">
        <f>SUM(F52:H52)</f>
        <v/>
      </c>
      <c r="J52" s="11" t="n">
        <v>0</v>
      </c>
      <c r="K52" s="7">
        <f>MIN(I52,E52)*J52</f>
        <v/>
      </c>
      <c r="L52" s="7">
        <f>MAX(0,I52-E52)</f>
        <v/>
      </c>
      <c r="M52" s="7">
        <f>MAX(0,E52-I52)</f>
        <v/>
      </c>
      <c r="N52" s="31" t="inlineStr">
        <is>
          <t>Not approved in case data; keep J=0 until named manager documents release and service cover.</t>
        </is>
      </c>
    </row>
    <row r="53" ht="28" customHeight="1">
      <c r="A53" s="7" t="inlineStr">
        <is>
          <t>E48</t>
        </is>
      </c>
      <c r="B53" s="7" t="inlineStr">
        <is>
          <t>Quality assurance</t>
        </is>
      </c>
      <c r="C53" s="7" t="n">
        <v>96</v>
      </c>
      <c r="D53" s="7">
        <f>Inputs!$B$18</f>
        <v/>
      </c>
      <c r="E53" s="7">
        <f>MAX(0,D53-C53)</f>
        <v/>
      </c>
      <c r="F53" s="11" t="n">
        <v>0</v>
      </c>
      <c r="G53" s="11" t="n">
        <v>0</v>
      </c>
      <c r="H53" s="11" t="n">
        <v>0</v>
      </c>
      <c r="I53" s="7">
        <f>SUM(F53:H53)</f>
        <v/>
      </c>
      <c r="J53" s="11" t="n">
        <v>0</v>
      </c>
      <c r="K53" s="7">
        <f>MIN(I53,E53)*J53</f>
        <v/>
      </c>
      <c r="L53" s="7">
        <f>MAX(0,I53-E53)</f>
        <v/>
      </c>
      <c r="M53" s="7">
        <f>MAX(0,E53-I53)</f>
        <v/>
      </c>
      <c r="N53" s="31" t="inlineStr">
        <is>
          <t>Not approved in case data; keep J=0 until named manager documents release and service cover.</t>
        </is>
      </c>
    </row>
    <row r="54" ht="28" customHeight="1">
      <c r="A54" s="7" t="inlineStr">
        <is>
          <t>E49</t>
        </is>
      </c>
      <c r="B54" s="7" t="inlineStr">
        <is>
          <t>Quality assurance</t>
        </is>
      </c>
      <c r="C54" s="7" t="n">
        <v>96</v>
      </c>
      <c r="D54" s="7">
        <f>Inputs!$B$18</f>
        <v/>
      </c>
      <c r="E54" s="7">
        <f>MAX(0,D54-C54)</f>
        <v/>
      </c>
      <c r="F54" s="11" t="n">
        <v>0</v>
      </c>
      <c r="G54" s="11" t="n">
        <v>0</v>
      </c>
      <c r="H54" s="11" t="n">
        <v>0</v>
      </c>
      <c r="I54" s="7">
        <f>SUM(F54:H54)</f>
        <v/>
      </c>
      <c r="J54" s="11" t="n">
        <v>0</v>
      </c>
      <c r="K54" s="7">
        <f>MIN(I54,E54)*J54</f>
        <v/>
      </c>
      <c r="L54" s="7">
        <f>MAX(0,I54-E54)</f>
        <v/>
      </c>
      <c r="M54" s="7">
        <f>MAX(0,E54-I54)</f>
        <v/>
      </c>
      <c r="N54" s="31" t="inlineStr">
        <is>
          <t>Not approved in case data; keep J=0 until named manager documents release and service cover.</t>
        </is>
      </c>
    </row>
    <row r="55" ht="28" customHeight="1">
      <c r="A55" s="7" t="inlineStr">
        <is>
          <t>E50</t>
        </is>
      </c>
      <c r="B55" s="7" t="inlineStr">
        <is>
          <t>Quality assurance</t>
        </is>
      </c>
      <c r="C55" s="7" t="n">
        <v>96</v>
      </c>
      <c r="D55" s="7">
        <f>Inputs!$B$18</f>
        <v/>
      </c>
      <c r="E55" s="7">
        <f>MAX(0,D55-C55)</f>
        <v/>
      </c>
      <c r="F55" s="11" t="n">
        <v>0</v>
      </c>
      <c r="G55" s="11" t="n">
        <v>0</v>
      </c>
      <c r="H55" s="11" t="n">
        <v>0</v>
      </c>
      <c r="I55" s="7">
        <f>SUM(F55:H55)</f>
        <v/>
      </c>
      <c r="J55" s="11" t="n">
        <v>0</v>
      </c>
      <c r="K55" s="7">
        <f>MIN(I55,E55)*J55</f>
        <v/>
      </c>
      <c r="L55" s="7">
        <f>MAX(0,I55-E55)</f>
        <v/>
      </c>
      <c r="M55" s="7">
        <f>MAX(0,E55-I55)</f>
        <v/>
      </c>
      <c r="N55" s="31" t="inlineStr">
        <is>
          <t>Not approved in case data; keep J=0 until named manager documents release and service cover.</t>
        </is>
      </c>
    </row>
    <row r="56" ht="28" customHeight="1">
      <c r="A56" s="7" t="inlineStr">
        <is>
          <t>E51</t>
        </is>
      </c>
      <c r="B56" s="7" t="inlineStr">
        <is>
          <t>Quality assurance</t>
        </is>
      </c>
      <c r="C56" s="7" t="n">
        <v>96</v>
      </c>
      <c r="D56" s="7">
        <f>Inputs!$B$18</f>
        <v/>
      </c>
      <c r="E56" s="7">
        <f>MAX(0,D56-C56)</f>
        <v/>
      </c>
      <c r="F56" s="11" t="n">
        <v>0</v>
      </c>
      <c r="G56" s="11" t="n">
        <v>0</v>
      </c>
      <c r="H56" s="11" t="n">
        <v>0</v>
      </c>
      <c r="I56" s="7">
        <f>SUM(F56:H56)</f>
        <v/>
      </c>
      <c r="J56" s="11" t="n">
        <v>0</v>
      </c>
      <c r="K56" s="7">
        <f>MIN(I56,E56)*J56</f>
        <v/>
      </c>
      <c r="L56" s="7">
        <f>MAX(0,I56-E56)</f>
        <v/>
      </c>
      <c r="M56" s="7">
        <f>MAX(0,E56-I56)</f>
        <v/>
      </c>
      <c r="N56" s="31" t="inlineStr">
        <is>
          <t>Not approved in case data; keep J=0 until named manager documents release and service cover.</t>
        </is>
      </c>
    </row>
    <row r="57" ht="28" customHeight="1">
      <c r="A57" s="7" t="inlineStr">
        <is>
          <t>E52</t>
        </is>
      </c>
      <c r="B57" s="7" t="inlineStr">
        <is>
          <t>Quality assurance</t>
        </is>
      </c>
      <c r="C57" s="7" t="n">
        <v>96</v>
      </c>
      <c r="D57" s="7">
        <f>Inputs!$B$18</f>
        <v/>
      </c>
      <c r="E57" s="7">
        <f>MAX(0,D57-C57)</f>
        <v/>
      </c>
      <c r="F57" s="11" t="n">
        <v>0</v>
      </c>
      <c r="G57" s="11" t="n">
        <v>0</v>
      </c>
      <c r="H57" s="11" t="n">
        <v>0</v>
      </c>
      <c r="I57" s="7">
        <f>SUM(F57:H57)</f>
        <v/>
      </c>
      <c r="J57" s="11" t="n">
        <v>0</v>
      </c>
      <c r="K57" s="7">
        <f>MIN(I57,E57)*J57</f>
        <v/>
      </c>
      <c r="L57" s="7">
        <f>MAX(0,I57-E57)</f>
        <v/>
      </c>
      <c r="M57" s="7">
        <f>MAX(0,E57-I57)</f>
        <v/>
      </c>
      <c r="N57" s="31" t="inlineStr">
        <is>
          <t>Not approved in case data; keep J=0 until named manager documents release and service cover.</t>
        </is>
      </c>
    </row>
    <row r="58" ht="28" customHeight="1">
      <c r="A58" s="7" t="inlineStr">
        <is>
          <t>E53</t>
        </is>
      </c>
      <c r="B58" s="7" t="inlineStr">
        <is>
          <t>Legacy experts</t>
        </is>
      </c>
      <c r="C58" s="7" t="n">
        <v>112</v>
      </c>
      <c r="D58" s="7">
        <f>Inputs!$B$18</f>
        <v/>
      </c>
      <c r="E58" s="7">
        <f>MAX(0,D58-C58)</f>
        <v/>
      </c>
      <c r="F58" s="11" t="n">
        <v>0</v>
      </c>
      <c r="G58" s="11" t="n">
        <v>0</v>
      </c>
      <c r="H58" s="11" t="n">
        <v>0</v>
      </c>
      <c r="I58" s="7">
        <f>SUM(F58:H58)</f>
        <v/>
      </c>
      <c r="J58" s="11" t="n">
        <v>0</v>
      </c>
      <c r="K58" s="7">
        <f>MIN(I58,E58)*J58</f>
        <v/>
      </c>
      <c r="L58" s="7">
        <f>MAX(0,I58-E58)</f>
        <v/>
      </c>
      <c r="M58" s="7">
        <f>MAX(0,E58-I58)</f>
        <v/>
      </c>
      <c r="N58" s="31" t="inlineStr">
        <is>
          <t>Not approved in case data; keep J=0 until named manager documents release and service cover.</t>
        </is>
      </c>
    </row>
    <row r="59" ht="28" customHeight="1">
      <c r="A59" s="7" t="inlineStr">
        <is>
          <t>E54</t>
        </is>
      </c>
      <c r="B59" s="7" t="inlineStr">
        <is>
          <t>Legacy experts</t>
        </is>
      </c>
      <c r="C59" s="7" t="n">
        <v>112</v>
      </c>
      <c r="D59" s="7">
        <f>Inputs!$B$18</f>
        <v/>
      </c>
      <c r="E59" s="7">
        <f>MAX(0,D59-C59)</f>
        <v/>
      </c>
      <c r="F59" s="11" t="n">
        <v>0</v>
      </c>
      <c r="G59" s="11" t="n">
        <v>0</v>
      </c>
      <c r="H59" s="11" t="n">
        <v>0</v>
      </c>
      <c r="I59" s="7">
        <f>SUM(F59:H59)</f>
        <v/>
      </c>
      <c r="J59" s="11" t="n">
        <v>0</v>
      </c>
      <c r="K59" s="7">
        <f>MIN(I59,E59)*J59</f>
        <v/>
      </c>
      <c r="L59" s="7">
        <f>MAX(0,I59-E59)</f>
        <v/>
      </c>
      <c r="M59" s="7">
        <f>MAX(0,E59-I59)</f>
        <v/>
      </c>
      <c r="N59" s="31" t="inlineStr">
        <is>
          <t>Not approved in case data; keep J=0 until named manager documents release and service cover.</t>
        </is>
      </c>
    </row>
    <row r="60" ht="28" customHeight="1">
      <c r="A60" s="7" t="inlineStr">
        <is>
          <t>E55</t>
        </is>
      </c>
      <c r="B60" s="7" t="inlineStr">
        <is>
          <t>Legacy experts</t>
        </is>
      </c>
      <c r="C60" s="7" t="n">
        <v>112</v>
      </c>
      <c r="D60" s="7">
        <f>Inputs!$B$18</f>
        <v/>
      </c>
      <c r="E60" s="7">
        <f>MAX(0,D60-C60)</f>
        <v/>
      </c>
      <c r="F60" s="11" t="n">
        <v>0</v>
      </c>
      <c r="G60" s="11" t="n">
        <v>0</v>
      </c>
      <c r="H60" s="11" t="n">
        <v>0</v>
      </c>
      <c r="I60" s="7">
        <f>SUM(F60:H60)</f>
        <v/>
      </c>
      <c r="J60" s="11" t="n">
        <v>0</v>
      </c>
      <c r="K60" s="7">
        <f>MIN(I60,E60)*J60</f>
        <v/>
      </c>
      <c r="L60" s="7">
        <f>MAX(0,I60-E60)</f>
        <v/>
      </c>
      <c r="M60" s="7">
        <f>MAX(0,E60-I60)</f>
        <v/>
      </c>
      <c r="N60" s="31" t="inlineStr">
        <is>
          <t>Not approved in case data; keep J=0 until named manager documents release and service cover.</t>
        </is>
      </c>
    </row>
    <row r="61" ht="28" customHeight="1">
      <c r="A61" s="7" t="inlineStr">
        <is>
          <t>E56</t>
        </is>
      </c>
      <c r="B61" s="7" t="inlineStr">
        <is>
          <t>Legacy experts</t>
        </is>
      </c>
      <c r="C61" s="7" t="n">
        <v>112</v>
      </c>
      <c r="D61" s="7">
        <f>Inputs!$B$18</f>
        <v/>
      </c>
      <c r="E61" s="7">
        <f>MAX(0,D61-C61)</f>
        <v/>
      </c>
      <c r="F61" s="11" t="n">
        <v>0</v>
      </c>
      <c r="G61" s="11" t="n">
        <v>0</v>
      </c>
      <c r="H61" s="11" t="n">
        <v>0</v>
      </c>
      <c r="I61" s="7">
        <f>SUM(F61:H61)</f>
        <v/>
      </c>
      <c r="J61" s="11" t="n">
        <v>0</v>
      </c>
      <c r="K61" s="7">
        <f>MIN(I61,E61)*J61</f>
        <v/>
      </c>
      <c r="L61" s="7">
        <f>MAX(0,I61-E61)</f>
        <v/>
      </c>
      <c r="M61" s="7">
        <f>MAX(0,E61-I61)</f>
        <v/>
      </c>
      <c r="N61" s="31" t="inlineStr">
        <is>
          <t>Not approved in case data; keep J=0 until named manager documents release and service cover.</t>
        </is>
      </c>
    </row>
    <row r="62" ht="28" customHeight="1">
      <c r="A62" s="7" t="inlineStr">
        <is>
          <t>E57</t>
        </is>
      </c>
      <c r="B62" s="7" t="inlineStr">
        <is>
          <t>Legacy experts</t>
        </is>
      </c>
      <c r="C62" s="7" t="n">
        <v>112</v>
      </c>
      <c r="D62" s="7">
        <f>Inputs!$B$18</f>
        <v/>
      </c>
      <c r="E62" s="7">
        <f>MAX(0,D62-C62)</f>
        <v/>
      </c>
      <c r="F62" s="11" t="n">
        <v>0</v>
      </c>
      <c r="G62" s="11" t="n">
        <v>0</v>
      </c>
      <c r="H62" s="11" t="n">
        <v>0</v>
      </c>
      <c r="I62" s="7">
        <f>SUM(F62:H62)</f>
        <v/>
      </c>
      <c r="J62" s="11" t="n">
        <v>0</v>
      </c>
      <c r="K62" s="7">
        <f>MIN(I62,E62)*J62</f>
        <v/>
      </c>
      <c r="L62" s="7">
        <f>MAX(0,I62-E62)</f>
        <v/>
      </c>
      <c r="M62" s="7">
        <f>MAX(0,E62-I62)</f>
        <v/>
      </c>
      <c r="N62" s="31" t="inlineStr">
        <is>
          <t>Not approved in case data; keep J=0 until named manager documents release and service cover.</t>
        </is>
      </c>
    </row>
    <row r="63" ht="28" customHeight="1">
      <c r="A63" s="7" t="inlineStr">
        <is>
          <t>E58</t>
        </is>
      </c>
      <c r="B63" s="7" t="inlineStr">
        <is>
          <t>Legacy experts</t>
        </is>
      </c>
      <c r="C63" s="7" t="n">
        <v>112</v>
      </c>
      <c r="D63" s="7">
        <f>Inputs!$B$18</f>
        <v/>
      </c>
      <c r="E63" s="7">
        <f>MAX(0,D63-C63)</f>
        <v/>
      </c>
      <c r="F63" s="11" t="n">
        <v>0</v>
      </c>
      <c r="G63" s="11" t="n">
        <v>0</v>
      </c>
      <c r="H63" s="11" t="n">
        <v>0</v>
      </c>
      <c r="I63" s="7">
        <f>SUM(F63:H63)</f>
        <v/>
      </c>
      <c r="J63" s="11" t="n">
        <v>0</v>
      </c>
      <c r="K63" s="7">
        <f>MIN(I63,E63)*J63</f>
        <v/>
      </c>
      <c r="L63" s="7">
        <f>MAX(0,I63-E63)</f>
        <v/>
      </c>
      <c r="M63" s="7">
        <f>MAX(0,E63-I63)</f>
        <v/>
      </c>
      <c r="N63" s="31" t="inlineStr">
        <is>
          <t>Not approved in case data; keep J=0 until named manager documents release and service cover.</t>
        </is>
      </c>
    </row>
    <row r="64" ht="28" customHeight="1">
      <c r="A64" s="7" t="inlineStr">
        <is>
          <t>E59</t>
        </is>
      </c>
      <c r="B64" s="7" t="inlineStr">
        <is>
          <t>Legacy experts</t>
        </is>
      </c>
      <c r="C64" s="7" t="n">
        <v>112</v>
      </c>
      <c r="D64" s="7">
        <f>Inputs!$B$18</f>
        <v/>
      </c>
      <c r="E64" s="7">
        <f>MAX(0,D64-C64)</f>
        <v/>
      </c>
      <c r="F64" s="11" t="n">
        <v>0</v>
      </c>
      <c r="G64" s="11" t="n">
        <v>0</v>
      </c>
      <c r="H64" s="11" t="n">
        <v>0</v>
      </c>
      <c r="I64" s="7">
        <f>SUM(F64:H64)</f>
        <v/>
      </c>
      <c r="J64" s="11" t="n">
        <v>0</v>
      </c>
      <c r="K64" s="7">
        <f>MIN(I64,E64)*J64</f>
        <v/>
      </c>
      <c r="L64" s="7">
        <f>MAX(0,I64-E64)</f>
        <v/>
      </c>
      <c r="M64" s="7">
        <f>MAX(0,E64-I64)</f>
        <v/>
      </c>
      <c r="N64" s="31" t="inlineStr">
        <is>
          <t>Not approved in case data; keep J=0 until named manager documents release and service cover.</t>
        </is>
      </c>
    </row>
    <row r="65" ht="28" customHeight="1">
      <c r="A65" s="7" t="inlineStr">
        <is>
          <t>E60</t>
        </is>
      </c>
      <c r="B65" s="7" t="inlineStr">
        <is>
          <t>Legacy experts</t>
        </is>
      </c>
      <c r="C65" s="7" t="n">
        <v>112</v>
      </c>
      <c r="D65" s="7">
        <f>Inputs!$B$18</f>
        <v/>
      </c>
      <c r="E65" s="7">
        <f>MAX(0,D65-C65)</f>
        <v/>
      </c>
      <c r="F65" s="11" t="n">
        <v>0</v>
      </c>
      <c r="G65" s="11" t="n">
        <v>0</v>
      </c>
      <c r="H65" s="11" t="n">
        <v>0</v>
      </c>
      <c r="I65" s="7">
        <f>SUM(F65:H65)</f>
        <v/>
      </c>
      <c r="J65" s="11" t="n">
        <v>0</v>
      </c>
      <c r="K65" s="7">
        <f>MIN(I65,E65)*J65</f>
        <v/>
      </c>
      <c r="L65" s="7">
        <f>MAX(0,I65-E65)</f>
        <v/>
      </c>
      <c r="M65" s="7">
        <f>MAX(0,E65-I65)</f>
        <v/>
      </c>
      <c r="N65" s="31" t="inlineStr">
        <is>
          <t>Not approved in case data; keep J=0 until named manager documents release and service cover.</t>
        </is>
      </c>
    </row>
  </sheetData>
  <dataValidations count="2">
    <dataValidation sqref="F6:H65" showDropDown="0" showInputMessage="0" showErrorMessage="0" allowBlank="0" type="decimal" operator="greaterThanOrEqual">
      <formula1>0</formula1>
    </dataValidation>
    <dataValidation sqref="J6:J65" showDropDown="0" showInputMessage="0" showErrorMessage="0" allowBlank="0" type="list">
      <formula1>"0,1"</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41"/>
  <sheetViews>
    <sheetView showGridLines="0" workbookViewId="0">
      <pane ySplit="5" topLeftCell="A6" activePane="bottomLeft" state="frozen"/>
      <selection activeCell="A1" sqref="A1"/>
    </sheetView>
  </sheetViews>
  <sheetFormatPr baseColWidth="8" defaultRowHeight="15"/>
  <cols>
    <col width="32" customWidth="1" min="1" max="1"/>
    <col width="38" customWidth="1" min="2" max="2"/>
    <col width="20" customWidth="1" min="3" max="3"/>
    <col width="25" customWidth="1" min="4" max="4"/>
    <col width="20" customWidth="1" min="5" max="5"/>
    <col width="20" customWidth="1" min="6" max="6"/>
    <col width="20" customWidth="1" min="7" max="7"/>
    <col width="20" customWidth="1" min="8" max="8"/>
    <col width="20" customWidth="1" min="9" max="9"/>
    <col width="20" customWidth="1" min="10" max="10"/>
  </cols>
  <sheetData>
    <row r="1"/>
    <row r="2" ht="28" customHeight="1">
      <c r="A2" s="9" t="inlineStr">
        <is>
          <t>Four arrangements — conditional full-release comparison</t>
        </is>
      </c>
      <c r="B2" s="7" t="n"/>
      <c r="C2" s="7" t="n"/>
      <c r="D2" s="7" t="n"/>
      <c r="E2" s="7" t="n"/>
      <c r="F2" s="7" t="n"/>
      <c r="G2" s="7" t="n"/>
      <c r="H2" s="7" t="n"/>
      <c r="I2" s="7" t="n"/>
      <c r="J2" s="7" t="n"/>
    </row>
    <row r="3" ht="28" customHeight="1">
      <c r="A3" s="7" t="n"/>
      <c r="B3" s="7" t="n"/>
      <c r="C3" s="7" t="n"/>
      <c r="D3" s="7" t="n"/>
      <c r="E3" s="7" t="n"/>
      <c r="F3" s="7" t="n"/>
      <c r="G3" s="7" t="n"/>
      <c r="H3" s="7" t="n"/>
      <c r="I3" s="7" t="n"/>
      <c r="J3" s="7" t="n"/>
    </row>
    <row r="4" ht="28" customHeight="1">
      <c r="A4" s="7" t="n"/>
      <c r="B4" s="7" t="n"/>
      <c r="C4" s="7" t="n"/>
      <c r="D4" s="7" t="n"/>
      <c r="E4" s="7" t="n"/>
      <c r="F4" s="7" t="n"/>
      <c r="G4" s="7" t="n"/>
      <c r="H4" s="7" t="n"/>
      <c r="I4" s="7" t="n"/>
      <c r="J4" s="7" t="n"/>
    </row>
    <row r="5" ht="58" customHeight="1">
      <c r="A5" s="14" t="inlineStr">
        <is>
          <t>Arrangement</t>
        </is>
      </c>
      <c r="B5" s="14" t="inlineStr">
        <is>
          <t>Workflow</t>
        </is>
      </c>
      <c r="C5" s="14" t="inlineStr">
        <is>
          <t>Duplicate 1/0</t>
        </is>
      </c>
      <c r="D5" s="14" t="inlineStr">
        <is>
          <t>Role</t>
        </is>
      </c>
      <c r="E5" s="14" t="inlineStr">
        <is>
          <t>Pilot demand h</t>
        </is>
      </c>
      <c r="F5" s="14" t="inlineStr">
        <is>
          <t>Full available h</t>
        </is>
      </c>
      <c r="G5" s="14" t="inlineStr">
        <is>
          <t>Internal used h</t>
        </is>
      </c>
      <c r="H5" s="14" t="inlineStr">
        <is>
          <t>Role gap h</t>
        </is>
      </c>
      <c r="I5" s="14" t="inlineStr">
        <is>
          <t>Vendor workers</t>
        </is>
      </c>
      <c r="J5" s="14" t="inlineStr">
        <is>
          <t>Vendor cost INR</t>
        </is>
      </c>
    </row>
    <row r="6" ht="28" customHeight="1">
      <c r="A6" s="7" t="inlineStr">
        <is>
          <t>Retained + duplicate</t>
        </is>
      </c>
      <c r="B6" s="7" t="n">
        <v>1</v>
      </c>
      <c r="C6" s="7" t="n">
        <v>1</v>
      </c>
      <c r="D6" s="7" t="inlineStr">
        <is>
          <t>Engineering</t>
        </is>
      </c>
      <c r="E6" s="7">
        <f>Inputs!D26*Inputs!E26+IF(D6="Data preparation",240*C6,0)+IF(B6=1,Inputs!F26,Inputs!G26)+Inputs!$B$16</f>
        <v/>
      </c>
      <c r="F6" s="7">
        <f>Inputs!B26*MAX(0,Inputs!$B$18-Inputs!C26)</f>
        <v/>
      </c>
      <c r="G6" s="7">
        <f>MIN(E6,F6)</f>
        <v/>
      </c>
      <c r="H6" s="7">
        <f>MAX(0,E6-G6)</f>
        <v/>
      </c>
      <c r="I6" s="7">
        <f>IF(Inputs!$B$20&gt;0,ROUNDUP(H6/Inputs!$B$20,0),0)</f>
        <v/>
      </c>
      <c r="J6" s="27">
        <f>I6*Inputs!$B$19*Inputs!H26</f>
        <v/>
      </c>
    </row>
    <row r="7" ht="28" customHeight="1">
      <c r="A7" s="7" t="inlineStr">
        <is>
          <t>Retained + duplicate</t>
        </is>
      </c>
      <c r="B7" s="7" t="n">
        <v>1</v>
      </c>
      <c r="C7" s="7" t="n">
        <v>1</v>
      </c>
      <c r="D7" s="7" t="inlineStr">
        <is>
          <t>Analytics</t>
        </is>
      </c>
      <c r="E7" s="7">
        <f>Inputs!D27*Inputs!E27+IF(D7="Data preparation",240*C7,0)+IF(B7=1,Inputs!F27,Inputs!G27)+Inputs!$B$16</f>
        <v/>
      </c>
      <c r="F7" s="7">
        <f>Inputs!B27*MAX(0,Inputs!$B$18-Inputs!C27)</f>
        <v/>
      </c>
      <c r="G7" s="7">
        <f>MIN(E7,F7)</f>
        <v/>
      </c>
      <c r="H7" s="7">
        <f>MAX(0,E7-G7)</f>
        <v/>
      </c>
      <c r="I7" s="7">
        <f>IF(Inputs!$B$20&gt;0,ROUNDUP(H7/Inputs!$B$20,0),0)</f>
        <v/>
      </c>
      <c r="J7" s="27">
        <f>I7*Inputs!$B$19*Inputs!H27</f>
        <v/>
      </c>
    </row>
    <row r="8" ht="28" customHeight="1">
      <c r="A8" s="7" t="inlineStr">
        <is>
          <t>Retained + duplicate</t>
        </is>
      </c>
      <c r="B8" s="7" t="n">
        <v>1</v>
      </c>
      <c r="C8" s="7" t="n">
        <v>1</v>
      </c>
      <c r="D8" s="7" t="inlineStr">
        <is>
          <t>Operations</t>
        </is>
      </c>
      <c r="E8" s="7">
        <f>Inputs!D28*Inputs!E28+IF(D8="Data preparation",240*C8,0)+IF(B8=1,Inputs!F28,Inputs!G28)+Inputs!$B$16</f>
        <v/>
      </c>
      <c r="F8" s="7">
        <f>Inputs!B28*MAX(0,Inputs!$B$18-Inputs!C28)</f>
        <v/>
      </c>
      <c r="G8" s="7">
        <f>MIN(E8,F8)</f>
        <v/>
      </c>
      <c r="H8" s="7">
        <f>MAX(0,E8-G8)</f>
        <v/>
      </c>
      <c r="I8" s="7">
        <f>IF(Inputs!$B$20&gt;0,ROUNDUP(H8/Inputs!$B$20,0),0)</f>
        <v/>
      </c>
      <c r="J8" s="27">
        <f>I8*Inputs!$B$19*Inputs!H28</f>
        <v/>
      </c>
    </row>
    <row r="9" ht="28" customHeight="1">
      <c r="A9" s="7" t="inlineStr">
        <is>
          <t>Retained + duplicate</t>
        </is>
      </c>
      <c r="B9" s="7" t="n">
        <v>1</v>
      </c>
      <c r="C9" s="7" t="n">
        <v>1</v>
      </c>
      <c r="D9" s="7" t="inlineStr">
        <is>
          <t>Data preparation</t>
        </is>
      </c>
      <c r="E9" s="7">
        <f>Inputs!D29*Inputs!E29+IF(D9="Data preparation",240*C9,0)+IF(B9=1,Inputs!F29,Inputs!G29)+Inputs!$B$16</f>
        <v/>
      </c>
      <c r="F9" s="7">
        <f>Inputs!B29*MAX(0,Inputs!$B$18-Inputs!C29)</f>
        <v/>
      </c>
      <c r="G9" s="7">
        <f>MIN(E9,F9)</f>
        <v/>
      </c>
      <c r="H9" s="7">
        <f>MAX(0,E9-G9)</f>
        <v/>
      </c>
      <c r="I9" s="7">
        <f>IF(Inputs!$B$20&gt;0,ROUNDUP(H9/Inputs!$B$20,0),0)</f>
        <v/>
      </c>
      <c r="J9" s="27">
        <f>I9*Inputs!$B$19*Inputs!H29</f>
        <v/>
      </c>
    </row>
    <row r="10" ht="28" customHeight="1">
      <c r="A10" s="7" t="inlineStr">
        <is>
          <t>Retained + duplicate</t>
        </is>
      </c>
      <c r="B10" s="7" t="n">
        <v>1</v>
      </c>
      <c r="C10" s="7" t="n">
        <v>1</v>
      </c>
      <c r="D10" s="7" t="inlineStr">
        <is>
          <t>Quality assurance</t>
        </is>
      </c>
      <c r="E10" s="7">
        <f>Inputs!D30*Inputs!E30+IF(D10="Data preparation",240*C10,0)+IF(B10=1,Inputs!F30,Inputs!G30)+Inputs!$B$16</f>
        <v/>
      </c>
      <c r="F10" s="7">
        <f>Inputs!B30*MAX(0,Inputs!$B$18-Inputs!C30)</f>
        <v/>
      </c>
      <c r="G10" s="7">
        <f>MIN(E10,F10)</f>
        <v/>
      </c>
      <c r="H10" s="7">
        <f>MAX(0,E10-G10)</f>
        <v/>
      </c>
      <c r="I10" s="7">
        <f>IF(Inputs!$B$20&gt;0,ROUNDUP(H10/Inputs!$B$20,0),0)</f>
        <v/>
      </c>
      <c r="J10" s="27">
        <f>I10*Inputs!$B$19*Inputs!H30</f>
        <v/>
      </c>
    </row>
    <row r="11" ht="28" customHeight="1">
      <c r="A11" s="7" t="inlineStr">
        <is>
          <t>Retained + duplicate</t>
        </is>
      </c>
      <c r="B11" s="7" t="n">
        <v>1</v>
      </c>
      <c r="C11" s="7" t="n">
        <v>1</v>
      </c>
      <c r="D11" s="7" t="inlineStr">
        <is>
          <t>Legacy experts</t>
        </is>
      </c>
      <c r="E11" s="7">
        <f>Inputs!D31*Inputs!E31+IF(D11="Data preparation",240*C11,0)+IF(B11=1,Inputs!F31,Inputs!G31)+Inputs!$B$16</f>
        <v/>
      </c>
      <c r="F11" s="7">
        <f>Inputs!B31*MAX(0,Inputs!$B$18-Inputs!C31)</f>
        <v/>
      </c>
      <c r="G11" s="7">
        <f>MIN(E11,F11)</f>
        <v/>
      </c>
      <c r="H11" s="7">
        <f>MAX(0,E11-G11)</f>
        <v/>
      </c>
      <c r="I11" s="7">
        <f>IF(Inputs!$B$20&gt;0,ROUNDUP(H11/Inputs!$B$20,0),0)</f>
        <v/>
      </c>
      <c r="J11" s="27">
        <f>I11*Inputs!$B$19*Inputs!H31</f>
        <v/>
      </c>
    </row>
    <row r="12" ht="28" customHeight="1">
      <c r="A12" s="7" t="inlineStr">
        <is>
          <t>Retained + single output</t>
        </is>
      </c>
      <c r="B12" s="7" t="n">
        <v>1</v>
      </c>
      <c r="C12" s="7" t="n">
        <v>0</v>
      </c>
      <c r="D12" s="7" t="inlineStr">
        <is>
          <t>Engineering</t>
        </is>
      </c>
      <c r="E12" s="7">
        <f>Inputs!D26*Inputs!E26+IF(D12="Data preparation",240*C12,0)+IF(B12=1,Inputs!F26,Inputs!G26)+Inputs!$B$16</f>
        <v/>
      </c>
      <c r="F12" s="7">
        <f>Inputs!B26*MAX(0,Inputs!$B$18-Inputs!C26)</f>
        <v/>
      </c>
      <c r="G12" s="7">
        <f>MIN(E12,F12)</f>
        <v/>
      </c>
      <c r="H12" s="7">
        <f>MAX(0,E12-G12)</f>
        <v/>
      </c>
      <c r="I12" s="7">
        <f>IF(Inputs!$B$20&gt;0,ROUNDUP(H12/Inputs!$B$20,0),0)</f>
        <v/>
      </c>
      <c r="J12" s="27">
        <f>I12*Inputs!$B$19*Inputs!H26</f>
        <v/>
      </c>
    </row>
    <row r="13" ht="28" customHeight="1">
      <c r="A13" s="7" t="inlineStr">
        <is>
          <t>Retained + single output</t>
        </is>
      </c>
      <c r="B13" s="7" t="n">
        <v>1</v>
      </c>
      <c r="C13" s="7" t="n">
        <v>0</v>
      </c>
      <c r="D13" s="7" t="inlineStr">
        <is>
          <t>Analytics</t>
        </is>
      </c>
      <c r="E13" s="7">
        <f>Inputs!D27*Inputs!E27+IF(D13="Data preparation",240*C13,0)+IF(B13=1,Inputs!F27,Inputs!G27)+Inputs!$B$16</f>
        <v/>
      </c>
      <c r="F13" s="7">
        <f>Inputs!B27*MAX(0,Inputs!$B$18-Inputs!C27)</f>
        <v/>
      </c>
      <c r="G13" s="7">
        <f>MIN(E13,F13)</f>
        <v/>
      </c>
      <c r="H13" s="7">
        <f>MAX(0,E13-G13)</f>
        <v/>
      </c>
      <c r="I13" s="7">
        <f>IF(Inputs!$B$20&gt;0,ROUNDUP(H13/Inputs!$B$20,0),0)</f>
        <v/>
      </c>
      <c r="J13" s="27">
        <f>I13*Inputs!$B$19*Inputs!H27</f>
        <v/>
      </c>
    </row>
    <row r="14" ht="28" customHeight="1">
      <c r="A14" s="7" t="inlineStr">
        <is>
          <t>Retained + single output</t>
        </is>
      </c>
      <c r="B14" s="7" t="n">
        <v>1</v>
      </c>
      <c r="C14" s="7" t="n">
        <v>0</v>
      </c>
      <c r="D14" s="7" t="inlineStr">
        <is>
          <t>Operations</t>
        </is>
      </c>
      <c r="E14" s="7">
        <f>Inputs!D28*Inputs!E28+IF(D14="Data preparation",240*C14,0)+IF(B14=1,Inputs!F28,Inputs!G28)+Inputs!$B$16</f>
        <v/>
      </c>
      <c r="F14" s="7">
        <f>Inputs!B28*MAX(0,Inputs!$B$18-Inputs!C28)</f>
        <v/>
      </c>
      <c r="G14" s="7">
        <f>MIN(E14,F14)</f>
        <v/>
      </c>
      <c r="H14" s="7">
        <f>MAX(0,E14-G14)</f>
        <v/>
      </c>
      <c r="I14" s="7">
        <f>IF(Inputs!$B$20&gt;0,ROUNDUP(H14/Inputs!$B$20,0),0)</f>
        <v/>
      </c>
      <c r="J14" s="27">
        <f>I14*Inputs!$B$19*Inputs!H28</f>
        <v/>
      </c>
    </row>
    <row r="15" ht="28" customHeight="1">
      <c r="A15" s="7" t="inlineStr">
        <is>
          <t>Retained + single output</t>
        </is>
      </c>
      <c r="B15" s="7" t="n">
        <v>1</v>
      </c>
      <c r="C15" s="7" t="n">
        <v>0</v>
      </c>
      <c r="D15" s="7" t="inlineStr">
        <is>
          <t>Data preparation</t>
        </is>
      </c>
      <c r="E15" s="7">
        <f>Inputs!D29*Inputs!E29+IF(D15="Data preparation",240*C15,0)+IF(B15=1,Inputs!F29,Inputs!G29)+Inputs!$B$16</f>
        <v/>
      </c>
      <c r="F15" s="7">
        <f>Inputs!B29*MAX(0,Inputs!$B$18-Inputs!C29)</f>
        <v/>
      </c>
      <c r="G15" s="7">
        <f>MIN(E15,F15)</f>
        <v/>
      </c>
      <c r="H15" s="7">
        <f>MAX(0,E15-G15)</f>
        <v/>
      </c>
      <c r="I15" s="7">
        <f>IF(Inputs!$B$20&gt;0,ROUNDUP(H15/Inputs!$B$20,0),0)</f>
        <v/>
      </c>
      <c r="J15" s="27">
        <f>I15*Inputs!$B$19*Inputs!H29</f>
        <v/>
      </c>
    </row>
    <row r="16" ht="28" customHeight="1">
      <c r="A16" s="7" t="inlineStr">
        <is>
          <t>Retained + single output</t>
        </is>
      </c>
      <c r="B16" s="7" t="n">
        <v>1</v>
      </c>
      <c r="C16" s="7" t="n">
        <v>0</v>
      </c>
      <c r="D16" s="7" t="inlineStr">
        <is>
          <t>Quality assurance</t>
        </is>
      </c>
      <c r="E16" s="7">
        <f>Inputs!D30*Inputs!E30+IF(D16="Data preparation",240*C16,0)+IF(B16=1,Inputs!F30,Inputs!G30)+Inputs!$B$16</f>
        <v/>
      </c>
      <c r="F16" s="7">
        <f>Inputs!B30*MAX(0,Inputs!$B$18-Inputs!C30)</f>
        <v/>
      </c>
      <c r="G16" s="7">
        <f>MIN(E16,F16)</f>
        <v/>
      </c>
      <c r="H16" s="7">
        <f>MAX(0,E16-G16)</f>
        <v/>
      </c>
      <c r="I16" s="7">
        <f>IF(Inputs!$B$20&gt;0,ROUNDUP(H16/Inputs!$B$20,0),0)</f>
        <v/>
      </c>
      <c r="J16" s="27">
        <f>I16*Inputs!$B$19*Inputs!H30</f>
        <v/>
      </c>
    </row>
    <row r="17" ht="28" customHeight="1">
      <c r="A17" s="7" t="inlineStr">
        <is>
          <t>Retained + single output</t>
        </is>
      </c>
      <c r="B17" s="7" t="n">
        <v>1</v>
      </c>
      <c r="C17" s="7" t="n">
        <v>0</v>
      </c>
      <c r="D17" s="7" t="inlineStr">
        <is>
          <t>Legacy experts</t>
        </is>
      </c>
      <c r="E17" s="7">
        <f>Inputs!D31*Inputs!E31+IF(D17="Data preparation",240*C17,0)+IF(B17=1,Inputs!F31,Inputs!G31)+Inputs!$B$16</f>
        <v/>
      </c>
      <c r="F17" s="7">
        <f>Inputs!B31*MAX(0,Inputs!$B$18-Inputs!C31)</f>
        <v/>
      </c>
      <c r="G17" s="7">
        <f>MIN(E17,F17)</f>
        <v/>
      </c>
      <c r="H17" s="7">
        <f>MAX(0,E17-G17)</f>
        <v/>
      </c>
      <c r="I17" s="7">
        <f>IF(Inputs!$B$20&gt;0,ROUNDUP(H17/Inputs!$B$20,0),0)</f>
        <v/>
      </c>
      <c r="J17" s="27">
        <f>I17*Inputs!$B$19*Inputs!H31</f>
        <v/>
      </c>
    </row>
    <row r="18" ht="28" customHeight="1">
      <c r="A18" s="7" t="inlineStr">
        <is>
          <t>Bounded + duplicate</t>
        </is>
      </c>
      <c r="B18" s="7" t="n">
        <v>2</v>
      </c>
      <c r="C18" s="7" t="n">
        <v>1</v>
      </c>
      <c r="D18" s="7" t="inlineStr">
        <is>
          <t>Engineering</t>
        </is>
      </c>
      <c r="E18" s="7">
        <f>Inputs!D26*Inputs!E26+IF(D18="Data preparation",240*C18,0)+IF(B18=1,Inputs!F26,Inputs!G26)+Inputs!$B$16</f>
        <v/>
      </c>
      <c r="F18" s="7">
        <f>Inputs!B26*MAX(0,Inputs!$B$18-Inputs!C26)</f>
        <v/>
      </c>
      <c r="G18" s="7">
        <f>MIN(E18,F18)</f>
        <v/>
      </c>
      <c r="H18" s="7">
        <f>MAX(0,E18-G18)</f>
        <v/>
      </c>
      <c r="I18" s="7">
        <f>IF(Inputs!$B$20&gt;0,ROUNDUP(H18/Inputs!$B$20,0),0)</f>
        <v/>
      </c>
      <c r="J18" s="27">
        <f>I18*Inputs!$B$19*Inputs!H26</f>
        <v/>
      </c>
    </row>
    <row r="19" ht="28" customHeight="1">
      <c r="A19" s="7" t="inlineStr">
        <is>
          <t>Bounded + duplicate</t>
        </is>
      </c>
      <c r="B19" s="7" t="n">
        <v>2</v>
      </c>
      <c r="C19" s="7" t="n">
        <v>1</v>
      </c>
      <c r="D19" s="7" t="inlineStr">
        <is>
          <t>Analytics</t>
        </is>
      </c>
      <c r="E19" s="7">
        <f>Inputs!D27*Inputs!E27+IF(D19="Data preparation",240*C19,0)+IF(B19=1,Inputs!F27,Inputs!G27)+Inputs!$B$16</f>
        <v/>
      </c>
      <c r="F19" s="7">
        <f>Inputs!B27*MAX(0,Inputs!$B$18-Inputs!C27)</f>
        <v/>
      </c>
      <c r="G19" s="7">
        <f>MIN(E19,F19)</f>
        <v/>
      </c>
      <c r="H19" s="7">
        <f>MAX(0,E19-G19)</f>
        <v/>
      </c>
      <c r="I19" s="7">
        <f>IF(Inputs!$B$20&gt;0,ROUNDUP(H19/Inputs!$B$20,0),0)</f>
        <v/>
      </c>
      <c r="J19" s="27">
        <f>I19*Inputs!$B$19*Inputs!H27</f>
        <v/>
      </c>
    </row>
    <row r="20" ht="28" customHeight="1">
      <c r="A20" s="7" t="inlineStr">
        <is>
          <t>Bounded + duplicate</t>
        </is>
      </c>
      <c r="B20" s="7" t="n">
        <v>2</v>
      </c>
      <c r="C20" s="7" t="n">
        <v>1</v>
      </c>
      <c r="D20" s="7" t="inlineStr">
        <is>
          <t>Operations</t>
        </is>
      </c>
      <c r="E20" s="7">
        <f>Inputs!D28*Inputs!E28+IF(D20="Data preparation",240*C20,0)+IF(B20=1,Inputs!F28,Inputs!G28)+Inputs!$B$16</f>
        <v/>
      </c>
      <c r="F20" s="7">
        <f>Inputs!B28*MAX(0,Inputs!$B$18-Inputs!C28)</f>
        <v/>
      </c>
      <c r="G20" s="7">
        <f>MIN(E20,F20)</f>
        <v/>
      </c>
      <c r="H20" s="7">
        <f>MAX(0,E20-G20)</f>
        <v/>
      </c>
      <c r="I20" s="7">
        <f>IF(Inputs!$B$20&gt;0,ROUNDUP(H20/Inputs!$B$20,0),0)</f>
        <v/>
      </c>
      <c r="J20" s="27">
        <f>I20*Inputs!$B$19*Inputs!H28</f>
        <v/>
      </c>
    </row>
    <row r="21" ht="28" customHeight="1">
      <c r="A21" s="7" t="inlineStr">
        <is>
          <t>Bounded + duplicate</t>
        </is>
      </c>
      <c r="B21" s="7" t="n">
        <v>2</v>
      </c>
      <c r="C21" s="7" t="n">
        <v>1</v>
      </c>
      <c r="D21" s="7" t="inlineStr">
        <is>
          <t>Data preparation</t>
        </is>
      </c>
      <c r="E21" s="7">
        <f>Inputs!D29*Inputs!E29+IF(D21="Data preparation",240*C21,0)+IF(B21=1,Inputs!F29,Inputs!G29)+Inputs!$B$16</f>
        <v/>
      </c>
      <c r="F21" s="7">
        <f>Inputs!B29*MAX(0,Inputs!$B$18-Inputs!C29)</f>
        <v/>
      </c>
      <c r="G21" s="7">
        <f>MIN(E21,F21)</f>
        <v/>
      </c>
      <c r="H21" s="7">
        <f>MAX(0,E21-G21)</f>
        <v/>
      </c>
      <c r="I21" s="7">
        <f>IF(Inputs!$B$20&gt;0,ROUNDUP(H21/Inputs!$B$20,0),0)</f>
        <v/>
      </c>
      <c r="J21" s="27">
        <f>I21*Inputs!$B$19*Inputs!H29</f>
        <v/>
      </c>
    </row>
    <row r="22" ht="28" customHeight="1">
      <c r="A22" s="7" t="inlineStr">
        <is>
          <t>Bounded + duplicate</t>
        </is>
      </c>
      <c r="B22" s="7" t="n">
        <v>2</v>
      </c>
      <c r="C22" s="7" t="n">
        <v>1</v>
      </c>
      <c r="D22" s="7" t="inlineStr">
        <is>
          <t>Quality assurance</t>
        </is>
      </c>
      <c r="E22" s="7">
        <f>Inputs!D30*Inputs!E30+IF(D22="Data preparation",240*C22,0)+IF(B22=1,Inputs!F30,Inputs!G30)+Inputs!$B$16</f>
        <v/>
      </c>
      <c r="F22" s="7">
        <f>Inputs!B30*MAX(0,Inputs!$B$18-Inputs!C30)</f>
        <v/>
      </c>
      <c r="G22" s="7">
        <f>MIN(E22,F22)</f>
        <v/>
      </c>
      <c r="H22" s="7">
        <f>MAX(0,E22-G22)</f>
        <v/>
      </c>
      <c r="I22" s="7">
        <f>IF(Inputs!$B$20&gt;0,ROUNDUP(H22/Inputs!$B$20,0),0)</f>
        <v/>
      </c>
      <c r="J22" s="27">
        <f>I22*Inputs!$B$19*Inputs!H30</f>
        <v/>
      </c>
    </row>
    <row r="23" ht="28" customHeight="1">
      <c r="A23" s="7" t="inlineStr">
        <is>
          <t>Bounded + duplicate</t>
        </is>
      </c>
      <c r="B23" s="7" t="n">
        <v>2</v>
      </c>
      <c r="C23" s="7" t="n">
        <v>1</v>
      </c>
      <c r="D23" s="7" t="inlineStr">
        <is>
          <t>Legacy experts</t>
        </is>
      </c>
      <c r="E23" s="7">
        <f>Inputs!D31*Inputs!E31+IF(D23="Data preparation",240*C23,0)+IF(B23=1,Inputs!F31,Inputs!G31)+Inputs!$B$16</f>
        <v/>
      </c>
      <c r="F23" s="7">
        <f>Inputs!B31*MAX(0,Inputs!$B$18-Inputs!C31)</f>
        <v/>
      </c>
      <c r="G23" s="7">
        <f>MIN(E23,F23)</f>
        <v/>
      </c>
      <c r="H23" s="7">
        <f>MAX(0,E23-G23)</f>
        <v/>
      </c>
      <c r="I23" s="7">
        <f>IF(Inputs!$B$20&gt;0,ROUNDUP(H23/Inputs!$B$20,0),0)</f>
        <v/>
      </c>
      <c r="J23" s="27">
        <f>I23*Inputs!$B$19*Inputs!H31</f>
        <v/>
      </c>
    </row>
    <row r="24" ht="28" customHeight="1">
      <c r="A24" s="7" t="inlineStr">
        <is>
          <t>Bounded + single output</t>
        </is>
      </c>
      <c r="B24" s="7" t="n">
        <v>2</v>
      </c>
      <c r="C24" s="7" t="n">
        <v>0</v>
      </c>
      <c r="D24" s="7" t="inlineStr">
        <is>
          <t>Engineering</t>
        </is>
      </c>
      <c r="E24" s="7">
        <f>Inputs!D26*Inputs!E26+IF(D24="Data preparation",240*C24,0)+IF(B24=1,Inputs!F26,Inputs!G26)+Inputs!$B$16</f>
        <v/>
      </c>
      <c r="F24" s="7">
        <f>Inputs!B26*MAX(0,Inputs!$B$18-Inputs!C26)</f>
        <v/>
      </c>
      <c r="G24" s="7">
        <f>MIN(E24,F24)</f>
        <v/>
      </c>
      <c r="H24" s="7">
        <f>MAX(0,E24-G24)</f>
        <v/>
      </c>
      <c r="I24" s="7">
        <f>IF(Inputs!$B$20&gt;0,ROUNDUP(H24/Inputs!$B$20,0),0)</f>
        <v/>
      </c>
      <c r="J24" s="27">
        <f>I24*Inputs!$B$19*Inputs!H26</f>
        <v/>
      </c>
    </row>
    <row r="25" ht="28" customHeight="1">
      <c r="A25" s="7" t="inlineStr">
        <is>
          <t>Bounded + single output</t>
        </is>
      </c>
      <c r="B25" s="7" t="n">
        <v>2</v>
      </c>
      <c r="C25" s="7" t="n">
        <v>0</v>
      </c>
      <c r="D25" s="7" t="inlineStr">
        <is>
          <t>Analytics</t>
        </is>
      </c>
      <c r="E25" s="7">
        <f>Inputs!D27*Inputs!E27+IF(D25="Data preparation",240*C25,0)+IF(B25=1,Inputs!F27,Inputs!G27)+Inputs!$B$16</f>
        <v/>
      </c>
      <c r="F25" s="7">
        <f>Inputs!B27*MAX(0,Inputs!$B$18-Inputs!C27)</f>
        <v/>
      </c>
      <c r="G25" s="7">
        <f>MIN(E25,F25)</f>
        <v/>
      </c>
      <c r="H25" s="7">
        <f>MAX(0,E25-G25)</f>
        <v/>
      </c>
      <c r="I25" s="7">
        <f>IF(Inputs!$B$20&gt;0,ROUNDUP(H25/Inputs!$B$20,0),0)</f>
        <v/>
      </c>
      <c r="J25" s="27">
        <f>I25*Inputs!$B$19*Inputs!H27</f>
        <v/>
      </c>
    </row>
    <row r="26" ht="28" customHeight="1">
      <c r="A26" s="7" t="inlineStr">
        <is>
          <t>Bounded + single output</t>
        </is>
      </c>
      <c r="B26" s="7" t="n">
        <v>2</v>
      </c>
      <c r="C26" s="7" t="n">
        <v>0</v>
      </c>
      <c r="D26" s="7" t="inlineStr">
        <is>
          <t>Operations</t>
        </is>
      </c>
      <c r="E26" s="7">
        <f>Inputs!D28*Inputs!E28+IF(D26="Data preparation",240*C26,0)+IF(B26=1,Inputs!F28,Inputs!G28)+Inputs!$B$16</f>
        <v/>
      </c>
      <c r="F26" s="7">
        <f>Inputs!B28*MAX(0,Inputs!$B$18-Inputs!C28)</f>
        <v/>
      </c>
      <c r="G26" s="7">
        <f>MIN(E26,F26)</f>
        <v/>
      </c>
      <c r="H26" s="7">
        <f>MAX(0,E26-G26)</f>
        <v/>
      </c>
      <c r="I26" s="7">
        <f>IF(Inputs!$B$20&gt;0,ROUNDUP(H26/Inputs!$B$20,0),0)</f>
        <v/>
      </c>
      <c r="J26" s="27">
        <f>I26*Inputs!$B$19*Inputs!H28</f>
        <v/>
      </c>
    </row>
    <row r="27" ht="28" customHeight="1">
      <c r="A27" s="7" t="inlineStr">
        <is>
          <t>Bounded + single output</t>
        </is>
      </c>
      <c r="B27" s="7" t="n">
        <v>2</v>
      </c>
      <c r="C27" s="7" t="n">
        <v>0</v>
      </c>
      <c r="D27" s="7" t="inlineStr">
        <is>
          <t>Data preparation</t>
        </is>
      </c>
      <c r="E27" s="7">
        <f>Inputs!D29*Inputs!E29+IF(D27="Data preparation",240*C27,0)+IF(B27=1,Inputs!F29,Inputs!G29)+Inputs!$B$16</f>
        <v/>
      </c>
      <c r="F27" s="7">
        <f>Inputs!B29*MAX(0,Inputs!$B$18-Inputs!C29)</f>
        <v/>
      </c>
      <c r="G27" s="7">
        <f>MIN(E27,F27)</f>
        <v/>
      </c>
      <c r="H27" s="7">
        <f>MAX(0,E27-G27)</f>
        <v/>
      </c>
      <c r="I27" s="7">
        <f>IF(Inputs!$B$20&gt;0,ROUNDUP(H27/Inputs!$B$20,0),0)</f>
        <v/>
      </c>
      <c r="J27" s="27">
        <f>I27*Inputs!$B$19*Inputs!H29</f>
        <v/>
      </c>
    </row>
    <row r="28" ht="28" customHeight="1">
      <c r="A28" s="7" t="inlineStr">
        <is>
          <t>Bounded + single output</t>
        </is>
      </c>
      <c r="B28" s="7" t="n">
        <v>2</v>
      </c>
      <c r="C28" s="7" t="n">
        <v>0</v>
      </c>
      <c r="D28" s="7" t="inlineStr">
        <is>
          <t>Quality assurance</t>
        </is>
      </c>
      <c r="E28" s="7">
        <f>Inputs!D30*Inputs!E30+IF(D28="Data preparation",240*C28,0)+IF(B28=1,Inputs!F30,Inputs!G30)+Inputs!$B$16</f>
        <v/>
      </c>
      <c r="F28" s="7">
        <f>Inputs!B30*MAX(0,Inputs!$B$18-Inputs!C30)</f>
        <v/>
      </c>
      <c r="G28" s="7">
        <f>MIN(E28,F28)</f>
        <v/>
      </c>
      <c r="H28" s="7">
        <f>MAX(0,E28-G28)</f>
        <v/>
      </c>
      <c r="I28" s="7">
        <f>IF(Inputs!$B$20&gt;0,ROUNDUP(H28/Inputs!$B$20,0),0)</f>
        <v/>
      </c>
      <c r="J28" s="27">
        <f>I28*Inputs!$B$19*Inputs!H30</f>
        <v/>
      </c>
    </row>
    <row r="29" ht="28" customHeight="1">
      <c r="A29" s="7" t="inlineStr">
        <is>
          <t>Bounded + single output</t>
        </is>
      </c>
      <c r="B29" s="7" t="n">
        <v>2</v>
      </c>
      <c r="C29" s="7" t="n">
        <v>0</v>
      </c>
      <c r="D29" s="7" t="inlineStr">
        <is>
          <t>Legacy experts</t>
        </is>
      </c>
      <c r="E29" s="7">
        <f>Inputs!D31*Inputs!E31+IF(D29="Data preparation",240*C29,0)+IF(B29=1,Inputs!F31,Inputs!G31)+Inputs!$B$16</f>
        <v/>
      </c>
      <c r="F29" s="7">
        <f>Inputs!B31*MAX(0,Inputs!$B$18-Inputs!C31)</f>
        <v/>
      </c>
      <c r="G29" s="7">
        <f>MIN(E29,F29)</f>
        <v/>
      </c>
      <c r="H29" s="7">
        <f>MAX(0,E29-G29)</f>
        <v/>
      </c>
      <c r="I29" s="7">
        <f>IF(Inputs!$B$20&gt;0,ROUNDUP(H29/Inputs!$B$20,0),0)</f>
        <v/>
      </c>
      <c r="J29" s="27">
        <f>I29*Inputs!$B$19*Inputs!H31</f>
        <v/>
      </c>
    </row>
    <row r="30" ht="28" customHeight="1">
      <c r="A30" s="7" t="n"/>
      <c r="B30" s="7" t="n"/>
      <c r="C30" s="7" t="n"/>
      <c r="D30" s="7" t="n"/>
      <c r="E30" s="7" t="n"/>
      <c r="F30" s="7" t="n"/>
      <c r="G30" s="7" t="n"/>
      <c r="H30" s="7" t="n"/>
      <c r="I30" s="7" t="n"/>
      <c r="J30" s="7" t="n"/>
    </row>
    <row r="31" ht="28" customHeight="1">
      <c r="A31" s="7" t="n"/>
      <c r="B31" s="7" t="n"/>
      <c r="C31" s="7" t="n"/>
      <c r="D31" s="7" t="n"/>
      <c r="E31" s="7" t="n"/>
      <c r="F31" s="7" t="n"/>
      <c r="G31" s="7" t="n"/>
      <c r="H31" s="7" t="n"/>
      <c r="I31" s="7" t="n"/>
      <c r="J31" s="7" t="n"/>
    </row>
    <row r="32" ht="58" customHeight="1">
      <c r="A32" s="14" t="inlineStr">
        <is>
          <t>Arrangement</t>
        </is>
      </c>
      <c r="B32" s="14" t="inlineStr">
        <is>
          <t>Demand h</t>
        </is>
      </c>
      <c r="C32" s="14" t="inlineStr">
        <is>
          <t>Available h</t>
        </is>
      </c>
      <c r="D32" s="14" t="inlineStr">
        <is>
          <t>Skill gap h</t>
        </is>
      </c>
      <c r="E32" s="14" t="inlineStr">
        <is>
          <t>Vendor workers</t>
        </is>
      </c>
      <c r="F32" s="14" t="inlineStr">
        <is>
          <t>Vendor INR</t>
        </is>
      </c>
      <c r="G32" s="14" t="inlineStr">
        <is>
          <t>Total incremental INR</t>
        </is>
      </c>
      <c r="H32" s="14" t="inlineStr">
        <is>
          <t>Budget balance</t>
        </is>
      </c>
      <c r="I32" s="14" t="inlineStr">
        <is>
          <t>Worker balance</t>
        </is>
      </c>
      <c r="J32" s="14" t="inlineStr">
        <is>
          <t>Status</t>
        </is>
      </c>
    </row>
    <row r="33" ht="28" customHeight="1">
      <c r="A33" s="7">
        <f>A6</f>
        <v/>
      </c>
      <c r="B33" s="7">
        <f>SUM(E6:E11)</f>
        <v/>
      </c>
      <c r="C33" s="7">
        <f>SUM(F6:F11)</f>
        <v/>
      </c>
      <c r="D33" s="7">
        <f>SUM(H6:H11)</f>
        <v/>
      </c>
      <c r="E33" s="7">
        <f>SUM(I6:I11)</f>
        <v/>
      </c>
      <c r="F33" s="27">
        <f>SUM(J6:J11)</f>
        <v/>
      </c>
      <c r="G33" s="27">
        <f>F33+Inputs!$B$17</f>
        <v/>
      </c>
      <c r="H33" s="27">
        <f>Inputs!$B$10-G33</f>
        <v/>
      </c>
      <c r="I33" s="7">
        <f>Inputs!$B$11-E33</f>
        <v/>
      </c>
      <c r="J33" s="7">
        <f>IF(Inputs!$B$20=0,"No vendor capacity",IF(OR(H33&lt;0,I33&lt;0),"Over budget/limit","Conditional feasibility"))</f>
        <v/>
      </c>
    </row>
    <row r="34" ht="28" customHeight="1">
      <c r="A34" s="7">
        <f>A12</f>
        <v/>
      </c>
      <c r="B34" s="7">
        <f>SUM(E12:E17)</f>
        <v/>
      </c>
      <c r="C34" s="7">
        <f>SUM(F12:F17)</f>
        <v/>
      </c>
      <c r="D34" s="7">
        <f>SUM(H12:H17)</f>
        <v/>
      </c>
      <c r="E34" s="7">
        <f>SUM(I12:I17)</f>
        <v/>
      </c>
      <c r="F34" s="27">
        <f>SUM(J12:J17)</f>
        <v/>
      </c>
      <c r="G34" s="27">
        <f>F34+Inputs!$B$17</f>
        <v/>
      </c>
      <c r="H34" s="27">
        <f>Inputs!$B$10-G34</f>
        <v/>
      </c>
      <c r="I34" s="7">
        <f>Inputs!$B$11-E34</f>
        <v/>
      </c>
      <c r="J34" s="7">
        <f>IF(Inputs!$B$20=0,"No vendor capacity",IF(OR(H34&lt;0,I34&lt;0),"Over budget/limit","Conditional feasibility"))</f>
        <v/>
      </c>
    </row>
    <row r="35" ht="28" customHeight="1">
      <c r="A35" s="7">
        <f>A18</f>
        <v/>
      </c>
      <c r="B35" s="7">
        <f>SUM(E18:E23)</f>
        <v/>
      </c>
      <c r="C35" s="7">
        <f>SUM(F18:F23)</f>
        <v/>
      </c>
      <c r="D35" s="7">
        <f>SUM(H18:H23)</f>
        <v/>
      </c>
      <c r="E35" s="7">
        <f>SUM(I18:I23)</f>
        <v/>
      </c>
      <c r="F35" s="27">
        <f>SUM(J18:J23)</f>
        <v/>
      </c>
      <c r="G35" s="27">
        <f>F35+Inputs!$B$17</f>
        <v/>
      </c>
      <c r="H35" s="27">
        <f>Inputs!$B$10-G35</f>
        <v/>
      </c>
      <c r="I35" s="7">
        <f>Inputs!$B$11-E35</f>
        <v/>
      </c>
      <c r="J35" s="7">
        <f>IF(Inputs!$B$20=0,"No vendor capacity",IF(OR(H35&lt;0,I35&lt;0),"Over budget/limit","Conditional feasibility"))</f>
        <v/>
      </c>
    </row>
    <row r="36" ht="28" customHeight="1">
      <c r="A36" s="7">
        <f>A24</f>
        <v/>
      </c>
      <c r="B36" s="7">
        <f>SUM(E24:E29)</f>
        <v/>
      </c>
      <c r="C36" s="7">
        <f>SUM(F24:F29)</f>
        <v/>
      </c>
      <c r="D36" s="7">
        <f>SUM(H24:H29)</f>
        <v/>
      </c>
      <c r="E36" s="7">
        <f>SUM(I24:I29)</f>
        <v/>
      </c>
      <c r="F36" s="27">
        <f>SUM(J24:J29)</f>
        <v/>
      </c>
      <c r="G36" s="27">
        <f>F36+Inputs!$B$17</f>
        <v/>
      </c>
      <c r="H36" s="27">
        <f>Inputs!$B$10-G36</f>
        <v/>
      </c>
      <c r="I36" s="7">
        <f>Inputs!$B$11-E36</f>
        <v/>
      </c>
      <c r="J36" s="7">
        <f>IF(Inputs!$B$20=0,"No vendor capacity",IF(OR(H36&lt;0,I36&lt;0),"Over budget/limit","Conditional feasibility"))</f>
        <v/>
      </c>
    </row>
    <row r="37" ht="28" customHeight="1">
      <c r="A37" s="7" t="n"/>
      <c r="B37" s="7" t="n"/>
      <c r="C37" s="7" t="n"/>
      <c r="D37" s="7" t="n"/>
      <c r="E37" s="7" t="n"/>
      <c r="F37" s="7" t="n"/>
      <c r="G37" s="7" t="n"/>
      <c r="H37" s="7" t="n"/>
      <c r="I37" s="7" t="n"/>
      <c r="J37" s="7" t="n"/>
    </row>
    <row r="38" ht="28" customHeight="1">
      <c r="A38" s="7" t="n"/>
      <c r="B38" s="7" t="n"/>
      <c r="C38" s="7" t="n"/>
      <c r="D38" s="7" t="n"/>
      <c r="E38" s="7" t="n"/>
      <c r="F38" s="7" t="n"/>
      <c r="G38" s="7" t="n"/>
      <c r="H38" s="7" t="n"/>
      <c r="I38" s="7" t="n"/>
      <c r="J38" s="7" t="n"/>
    </row>
    <row r="39" ht="100" customHeight="1">
      <c r="A39" s="7" t="inlineStr">
        <is>
          <t>Authority condition</t>
        </is>
      </c>
      <c r="B39" s="12" t="inlineStr">
        <is>
          <t>Bounded hours require decision thresholds, owners and clock; global pricing, consent and major architecture exceptions retain their owners. Q5.05; P008–P014.</t>
        </is>
      </c>
      <c r="C39" s="7" t="n"/>
      <c r="D39" s="7" t="n"/>
      <c r="E39" s="7" t="n"/>
      <c r="F39" s="7" t="n"/>
      <c r="G39" s="7" t="n"/>
      <c r="H39" s="7" t="n"/>
      <c r="I39" s="7" t="n"/>
      <c r="J39" s="7" t="n"/>
    </row>
    <row r="40" ht="100" customHeight="1">
      <c r="A40" s="7" t="inlineStr">
        <is>
          <t>Duplication condition</t>
        </is>
      </c>
      <c r="B40" s="12" t="inlineStr">
        <is>
          <t>Exclude only when a single authoritative preparation output and receiving owner are established. Q5.04; P024.</t>
        </is>
      </c>
      <c r="C40" s="7" t="n"/>
      <c r="D40" s="7" t="n"/>
      <c r="E40" s="7" t="n"/>
      <c r="F40" s="7" t="n"/>
      <c r="G40" s="7" t="n"/>
      <c r="H40" s="7" t="n"/>
      <c r="I40" s="7" t="n"/>
      <c r="J40" s="7" t="n"/>
    </row>
    <row r="41" ht="100" customHeight="1">
      <c r="A41" s="7" t="inlineStr">
        <is>
          <t>Release condition</t>
        </is>
      </c>
      <c r="B41" s="12" t="inlineStr">
        <is>
          <t>Internal used h assumes full release within role. Validate named employee allocations and service cover before recommending. Q5.03; P063; P183–P184.</t>
        </is>
      </c>
      <c r="C41" s="7" t="n"/>
      <c r="D41" s="7" t="n"/>
      <c r="E41" s="7" t="n"/>
      <c r="F41" s="7" t="n"/>
      <c r="G41" s="7" t="n"/>
      <c r="H41" s="7" t="n"/>
      <c r="I41" s="7" t="n"/>
      <c r="J41" s="7"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22"/>
  <sheetViews>
    <sheetView showGridLines="0" workbookViewId="0">
      <pane ySplit="5" topLeftCell="A6" activePane="bottomLeft" state="frozen"/>
      <selection activeCell="A1" sqref="A1"/>
    </sheetView>
  </sheetViews>
  <sheetFormatPr baseColWidth="8" defaultRowHeight="15"/>
  <cols>
    <col width="42" customWidth="1" min="1" max="1"/>
    <col width="42" customWidth="1" min="2" max="2"/>
    <col width="24" customWidth="1" min="3" max="3"/>
    <col width="42" customWidth="1" min="4" max="4"/>
  </cols>
  <sheetData>
    <row r="1"/>
    <row r="2" ht="28" customHeight="1">
      <c r="A2" s="9" t="inlineStr">
        <is>
          <t>Worked examples — emulate the method, not a prescribed answer</t>
        </is>
      </c>
      <c r="B2" s="7" t="n"/>
      <c r="C2" s="7" t="n"/>
      <c r="D2" s="7" t="n"/>
    </row>
    <row r="3" ht="28" customHeight="1">
      <c r="A3" s="7" t="n"/>
      <c r="B3" s="7" t="n"/>
      <c r="C3" s="7" t="n"/>
      <c r="D3" s="7" t="n"/>
    </row>
    <row r="4" ht="28" customHeight="1">
      <c r="A4" s="7" t="n"/>
      <c r="B4" s="7" t="n"/>
      <c r="C4" s="7" t="n"/>
      <c r="D4" s="7" t="n"/>
    </row>
    <row r="5" ht="58" customHeight="1">
      <c r="A5" s="14" t="inlineStr">
        <is>
          <t>Step</t>
        </is>
      </c>
      <c r="B5" s="14" t="inlineStr">
        <is>
          <t>Illustrative calculation / decision</t>
        </is>
      </c>
      <c r="C5" s="14" t="inlineStr">
        <is>
          <t>Result</t>
        </is>
      </c>
      <c r="D5" s="14" t="inlineStr">
        <is>
          <t>Evidence and concept</t>
        </is>
      </c>
    </row>
    <row r="6" ht="66" customHeight="1">
      <c r="A6" s="12" t="inlineStr">
        <is>
          <t>1 Productive time</t>
        </is>
      </c>
      <c r="B6" s="12" t="inlineStr">
        <is>
          <t>4 × 40 × (1 − 20%)</t>
        </is>
      </c>
      <c r="C6" s="28" t="n">
        <v>128</v>
      </c>
      <c r="D6" s="12" t="inlineStr">
        <is>
          <t>Q5.02; allowance precedes fixed service deduction.</t>
        </is>
      </c>
    </row>
    <row r="7" ht="66" customHeight="1">
      <c r="A7" s="12" t="inlineStr">
        <is>
          <t>2 Individual available</t>
        </is>
      </c>
      <c r="B7" s="12" t="inlineStr">
        <is>
          <t>Data-preparation employee: 128 − 96</t>
        </is>
      </c>
      <c r="C7" s="28" t="n">
        <v>32</v>
      </c>
      <c r="D7" s="12" t="inlineStr">
        <is>
          <t>Q5.03; headcount is not wholly deployable.</t>
        </is>
      </c>
    </row>
    <row r="8" ht="66" customHeight="1">
      <c r="A8" s="12" t="inlineStr">
        <is>
          <t>3 Retained demand</t>
        </is>
      </c>
      <c r="B8" s="12" t="inlineStr">
        <is>
          <t>Data preparation: 6 × 96</t>
        </is>
      </c>
      <c r="C8" s="28" t="n">
        <v>576</v>
      </c>
      <c r="D8" s="12" t="inlineStr">
        <is>
          <t>Legacy work remains protected.</t>
        </is>
      </c>
    </row>
    <row r="9" ht="66" customHeight="1">
      <c r="A9" s="12" t="inlineStr">
        <is>
          <t>4 Baseline pilot</t>
        </is>
      </c>
      <c r="B9" s="12" t="inlineStr">
        <is>
          <t>60 × 4 + duplicate 60 × 4 + 64 coordination</t>
        </is>
      </c>
      <c r="C9" s="28" t="n">
        <v>544</v>
      </c>
      <c r="D9" s="12" t="inlineStr">
        <is>
          <t>Q5.04–05; task demand differs from role staffing.</t>
        </is>
      </c>
    </row>
    <row r="10" ht="66" customHeight="1">
      <c r="A10" s="12" t="inlineStr">
        <is>
          <t>5 Full available supply</t>
        </is>
      </c>
      <c r="B10" s="12" t="inlineStr">
        <is>
          <t>6 × 32</t>
        </is>
      </c>
      <c r="C10" s="28" t="n">
        <v>192</v>
      </c>
      <c r="D10" s="12" t="inlineStr">
        <is>
          <t>Conditional on release; do not assume approval.</t>
        </is>
      </c>
    </row>
    <row r="11" ht="66" customHeight="1">
      <c r="A11" s="12" t="inlineStr">
        <is>
          <t>6 Skill-specific gap</t>
        </is>
      </c>
      <c r="B11" s="12" t="inlineStr">
        <is>
          <t>MAX(0, 544 − 192)</t>
        </is>
      </c>
      <c r="C11" s="28" t="n">
        <v>352</v>
      </c>
      <c r="D11" s="12" t="inlineStr">
        <is>
          <t>Sum role gaps, not net aggregate difference.</t>
        </is>
      </c>
    </row>
    <row r="12" ht="66" customHeight="1">
      <c r="A12" s="12" t="inlineStr">
        <is>
          <t>7 Gross FTE</t>
        </is>
      </c>
      <c r="B12" s="12" t="inlineStr">
        <is>
          <t>(576 + 544) /128</t>
        </is>
      </c>
      <c r="C12" s="28" t="n">
        <v>8.75</v>
      </c>
      <c r="D12" s="12" t="inlineStr">
        <is>
          <t>Q5.08; rounded whole role positions = 9.</t>
        </is>
      </c>
    </row>
    <row r="13" ht="66" customHeight="1">
      <c r="A13" s="12" t="inlineStr">
        <is>
          <t>8 Vendor workers</t>
        </is>
      </c>
      <c r="B13" s="12" t="inlineStr">
        <is>
          <t>ROUNDUP(352/102.4,0)</t>
        </is>
      </c>
      <c r="C13" s="28" t="n">
        <v>4</v>
      </c>
      <c r="D13" s="12" t="inlineStr">
        <is>
          <t>Q5.07; vendor capacity discounted for proficiency.</t>
        </is>
      </c>
    </row>
    <row r="14" ht="66" customHeight="1">
      <c r="A14" s="12" t="inlineStr">
        <is>
          <t>9 Vendor cost</t>
        </is>
      </c>
      <c r="B14" s="12" t="inlineStr">
        <is>
          <t>4 × 160 paid hours × ₹550</t>
        </is>
      </c>
      <c r="C14" s="28" t="n">
        <v>352000</v>
      </c>
      <c r="D14" s="12" t="inlineStr">
        <is>
          <t>Paid hours, not effective hours, determine invoice.</t>
        </is>
      </c>
    </row>
    <row r="15" ht="66" customHeight="1">
      <c r="A15" s="12" t="inlineStr">
        <is>
          <t>10 Single output + bounded</t>
        </is>
      </c>
      <c r="B15" s="12" t="inlineStr">
        <is>
          <t>240 task h + 32 coord h − 192 supply h</t>
        </is>
      </c>
      <c r="C15" s="28" t="n">
        <v>80</v>
      </c>
      <c r="D15" s="12" t="inlineStr">
        <is>
          <t>Conditional redesign gap; no assumed cross-skill transfer.</t>
        </is>
      </c>
    </row>
    <row r="16" ht="66" customHeight="1">
      <c r="A16" s="12" t="inlineStr">
        <is>
          <t>11 Vendor revised</t>
        </is>
      </c>
      <c r="B16" s="12" t="inlineStr">
        <is>
          <t>1 vendor ×160 ×₹550</t>
        </is>
      </c>
      <c r="C16" s="28" t="n">
        <v>88000</v>
      </c>
      <c r="D16" s="12" t="inlineStr">
        <is>
          <t>This is one role; test all roles against total budget.</t>
        </is>
      </c>
    </row>
    <row r="17" ht="28" customHeight="1">
      <c r="A17" s="12" t="n"/>
      <c r="B17" s="12" t="n"/>
      <c r="C17" s="12" t="n"/>
      <c r="D17" s="12" t="n"/>
    </row>
    <row r="18" ht="28" customHeight="1">
      <c r="A18" s="12" t="n"/>
      <c r="B18" s="12" t="n"/>
      <c r="C18" s="12" t="n"/>
      <c r="D18" s="12" t="n"/>
    </row>
    <row r="19" ht="100" customHeight="1">
      <c r="A19" s="12" t="inlineStr">
        <is>
          <t>Problem</t>
        </is>
      </c>
      <c r="B19" s="12" t="inlineStr">
        <is>
          <t>A duplicated customer-pack output consumes scarce role-hours. P024.</t>
        </is>
      </c>
      <c r="C19" s="12" t="inlineStr">
        <is>
          <t>Solution cue</t>
        </is>
      </c>
      <c r="D19" s="12" t="inlineStr">
        <is>
          <t>Establish one authoritative preparation output and receiving owner before excluding repetition.</t>
        </is>
      </c>
    </row>
    <row r="20" ht="100" customHeight="1">
      <c r="A20" s="12" t="inlineStr">
        <is>
          <t>Related concept</t>
        </is>
      </c>
      <c r="B20" s="12" t="inlineStr">
        <is>
          <t>Job analysis traces tasks; job design changes handoffs and accountability.</t>
        </is>
      </c>
      <c r="C20" s="12" t="inlineStr">
        <is>
          <t>AS2 link</t>
        </is>
      </c>
      <c r="D20" s="12" t="inlineStr">
        <is>
          <t>Deliverable 2 supplies numerical role need; Deliverable 1 supplies authority.</t>
        </is>
      </c>
    </row>
    <row r="21" ht="100" customHeight="1">
      <c r="A21" s="12" t="inlineStr">
        <is>
          <t>Sample allocation</t>
        </is>
      </c>
      <c r="B21" s="12" t="inlineStr">
        <is>
          <t>E41: UP 24h + UR 8h =32h; legacy 96h retained.</t>
        </is>
      </c>
      <c r="C21" s="12" t="inlineStr">
        <is>
          <t>Release</t>
        </is>
      </c>
      <c r="D21" s="12" t="inlineStr">
        <is>
          <t>Flag remains 0 until documented approval. Sample is not pre-filled in student allocation.</t>
        </is>
      </c>
    </row>
    <row r="22" ht="100" customHeight="1">
      <c r="A22" s="12" t="inlineStr">
        <is>
          <t>Student task</t>
        </is>
      </c>
      <c r="B22" s="12" t="inlineStr">
        <is>
          <t>Complete the other roles, test vendor budget and prepare at least three JD/JS rows.</t>
        </is>
      </c>
      <c r="C22" s="12" t="inlineStr">
        <is>
          <t>Defend</t>
        </is>
      </c>
      <c r="D22" s="12" t="inlineStr">
        <is>
          <t>Explain why alternative numbers or designs are justified.</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9"/>
  <sheetViews>
    <sheetView showGridLines="0" workbookViewId="0">
      <pane ySplit="5" topLeftCell="A6" activePane="bottomLeft" state="frozen"/>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row r="2" ht="28" customHeight="1">
      <c r="A2" s="9" t="inlineStr">
        <is>
          <t>Job analysis and design — complete three roles</t>
        </is>
      </c>
      <c r="B2" s="7" t="n"/>
      <c r="C2" s="7" t="n"/>
      <c r="D2" s="7" t="n"/>
      <c r="E2" s="7" t="n"/>
      <c r="F2" s="7" t="n"/>
      <c r="G2" s="7" t="n"/>
      <c r="H2" s="7" t="n"/>
      <c r="I2" s="7" t="n"/>
      <c r="J2" s="7" t="n"/>
      <c r="K2" s="7" t="n"/>
    </row>
    <row r="3" ht="28" customHeight="1">
      <c r="A3" s="7" t="n"/>
      <c r="B3" s="7" t="n"/>
      <c r="C3" s="7" t="n"/>
      <c r="D3" s="7" t="n"/>
      <c r="E3" s="7" t="n"/>
      <c r="F3" s="7" t="n"/>
      <c r="G3" s="7" t="n"/>
      <c r="H3" s="7" t="n"/>
      <c r="I3" s="7" t="n"/>
      <c r="J3" s="7" t="n"/>
      <c r="K3" s="7" t="n"/>
    </row>
    <row r="4" ht="28" customHeight="1">
      <c r="A4" s="7" t="n"/>
      <c r="B4" s="7" t="n"/>
      <c r="C4" s="7" t="n"/>
      <c r="D4" s="7" t="n"/>
      <c r="E4" s="7" t="n"/>
      <c r="F4" s="7" t="n"/>
      <c r="G4" s="7" t="n"/>
      <c r="H4" s="7" t="n"/>
      <c r="I4" s="7" t="n"/>
      <c r="J4" s="7" t="n"/>
      <c r="K4" s="7" t="n"/>
    </row>
    <row r="5" ht="58" customHeight="1">
      <c r="A5" s="14" t="inlineStr">
        <is>
          <t>Role</t>
        </is>
      </c>
      <c r="B5" s="14" t="inlineStr">
        <is>
          <t>Business output / P or Q ID</t>
        </is>
      </c>
      <c r="C5" s="14" t="inlineStr">
        <is>
          <t>Duties and hours</t>
        </is>
      </c>
      <c r="D5" s="14" t="inlineStr">
        <is>
          <t>JD: responsibility / reporting</t>
        </is>
      </c>
      <c r="E5" s="14" t="inlineStr">
        <is>
          <t>JD: authority and escalation</t>
        </is>
      </c>
      <c r="F5" s="14" t="inlineStr">
        <is>
          <t>JS: knowledge / skills</t>
        </is>
      </c>
      <c r="G5" s="14" t="inlineStr">
        <is>
          <t>JS: evidence / selection method</t>
        </is>
      </c>
      <c r="H5" s="14" t="inlineStr">
        <is>
          <t>Design choice and workload effect</t>
        </is>
      </c>
      <c r="I5" s="14" t="inlineStr">
        <is>
          <t>Onboarding / knowledge transfer</t>
        </is>
      </c>
      <c r="J5" s="14" t="inlineStr">
        <is>
          <t>Owner / ready date / assumptions</t>
        </is>
      </c>
      <c r="K5" s="14" t="inlineStr">
        <is>
          <t>AS2 link</t>
        </is>
      </c>
    </row>
    <row r="6" ht="110" customHeight="1">
      <c r="A6" s="30" t="inlineStr">
        <is>
          <t>ILLUSTRATIVE: Customer-data preparation specialist</t>
        </is>
      </c>
      <c r="B6" s="30" t="inlineStr">
        <is>
          <t>Common customer pack; P024; P069; Q5.04</t>
        </is>
      </c>
      <c r="C6" s="30" t="inlineStr">
        <is>
          <t>Prepare 60 packs × 4h and document exceptions; 32 coordination h under bounded scenario. Pool-level demand, not one employee’s assignment.</t>
        </is>
      </c>
      <c r="D6" s="30" t="inlineStr">
        <is>
          <t>Prepare, reconcile and validate shared output; proposed reporting to operating manager with pilot interface.</t>
        </is>
      </c>
      <c r="E6" s="30" t="inlineStr">
        <is>
          <t>Accountable for preparation quality within approved access; customer permission remains with authorized owner; escalate access or ambiguity.</t>
        </is>
      </c>
      <c r="F6" s="30" t="inlineStr">
        <is>
          <t>Data reconciliation, exception interpretation, documentation and confidentiality; proposed, not issued requirements.</t>
        </is>
      </c>
      <c r="G6" s="30" t="inlineStr">
        <is>
          <t>Anomalous customer-record work sample; structured questions; same scoring rubric and threshold for all.</t>
        </is>
      </c>
      <c r="H6" s="30" t="inlineStr">
        <is>
          <t>Single-output ownership removes 240 duplicate task hours only if receiver accepts output; requires redesigned handoff, not just extra headcount.</t>
        </is>
      </c>
      <c r="I6" s="30" t="inlineStr">
        <is>
          <t>Protected shadowing and tested exception handoff; estimate any extra effort once beyond Q5.</t>
        </is>
      </c>
      <c r="J6" s="30" t="inlineStr">
        <is>
          <t>Operating owner and receiving owner to be named; no release until access and service cover confirmed.</t>
        </is>
      </c>
      <c r="K6" s="30" t="inlineStr">
        <is>
          <t>D1 structure; D2 role gap; D3 selection/onboarding.</t>
        </is>
      </c>
    </row>
    <row r="7" ht="110" customHeight="1">
      <c r="A7" s="31" t="inlineStr">
        <is>
          <t>ILLUSTRATIVE: Quality assurance specialist</t>
        </is>
      </c>
      <c r="B7" s="31" t="inlineStr">
        <is>
          <t>Validation of 80 tasks; P019–P020; Q5.04</t>
        </is>
      </c>
      <c r="C7" s="31" t="inlineStr">
        <is>
          <t>Run 80 validation tasks × 3h = 240 task hours; 24 coordination h under bounded scenario; role-pool demand 264h.</t>
        </is>
      </c>
      <c r="D7" s="31" t="inlineStr">
        <is>
          <t>Report to QA/technical owner; maintain defect evidence, retests and acceptance record.</t>
        </is>
      </c>
      <c r="E7" s="31" t="inlineStr">
        <is>
          <t>Can validate against approved criteria and recommend readiness; cannot approve major architecture exceptions or customer permission; escalate threshold breaches.</t>
        </is>
      </c>
      <c r="F7" s="31" t="inlineStr">
        <is>
          <t>Test execution, evidence interpretation, defect triage, risk judgement and documentation; proposed requirements.</t>
        </is>
      </c>
      <c r="G7" s="31" t="inlineStr">
        <is>
          <t>Standardized validation exercise, defect log and structured exception questions.</t>
        </is>
      </c>
      <c r="H7" s="31" t="inlineStr">
        <is>
          <t>Enrichment is justified only when the role has defined acceptance criteria and a named escalation owner; does not transfer reserved approvals.</t>
        </is>
      </c>
      <c r="I7" s="31" t="inlineStr">
        <is>
          <t>Orientation to criteria and access, supervised validation, sample audit and documented readiness sign-off.</t>
        </is>
      </c>
      <c r="J7" s="31" t="inlineStr">
        <is>
          <t>QA/technical owner; criteria and thresholds must be confirmed before work starts.</t>
        </is>
      </c>
      <c r="K7" s="31" t="inlineStr">
        <is>
          <t>D1 authority boundaries; D2 workload; D3 selection and readiness gate.</t>
        </is>
      </c>
    </row>
    <row r="8" ht="110" customHeight="1">
      <c r="A8" s="31" t="inlineStr">
        <is>
          <t>ILLUSTRATIVE: Legacy expert / knowledge-transfer specialist</t>
        </is>
      </c>
      <c r="B8" s="31" t="inlineStr">
        <is>
          <t>40 documentation/teaching blocks × 4h = 160 task hours; P027; P069–P071; P168; Q5.04</t>
        </is>
      </c>
      <c r="C8" s="31" t="inlineStr">
        <is>
          <t>Document legacy process and exceptions, coach receiving staff and test learning; 32 coordination h under bounded scenario; demand 192h.</t>
        </is>
      </c>
      <c r="D8" s="31" t="inlineStr">
        <is>
          <t>Source-service manager remains accountable for release; delivery manager protects teaching sequence and service cover.</t>
        </is>
      </c>
      <c r="E8" s="31" t="inlineStr">
        <is>
          <t>Can explain and document known exceptions; cannot unilaterally stop legacy service or grant customer access; escalate undocumented/high-risk cases.</t>
        </is>
      </c>
      <c r="F8" s="31" t="inlineStr">
        <is>
          <t>Tacit process knowledge, exception reasoning, clear teaching, documentation and service-risk awareness; proposed.</t>
        </is>
      </c>
      <c r="G8" s="31" t="inlineStr">
        <is>
          <t>Explain a complex exception, produce a runbook and teach a second person who completes a test case.</t>
        </is>
      </c>
      <c r="H8" s="31" t="inlineStr">
        <is>
          <t>Protected rotation/knowledge transfer, not an added full workload; existing service must be covered before release.</t>
        </is>
      </c>
      <c r="I8" s="31" t="inlineStr">
        <is>
          <t>Protected shadowing, teach-back, exception test and service-owner acceptance; additional hours must not be double-counted with Q5.</t>
        </is>
      </c>
      <c r="J8" s="31" t="inlineStr">
        <is>
          <t>Source-service owner to approve release; receiving owner to sign off competence; timing remains to be agreed.</t>
        </is>
      </c>
      <c r="K8" s="31" t="inlineStr">
        <is>
          <t>D1 service protection; D2 role demand; D3 readiness and onboarding.</t>
        </is>
      </c>
    </row>
    <row r="9" ht="125" customHeight="1">
      <c r="A9" s="13" t="n"/>
      <c r="B9" s="13" t="n"/>
      <c r="C9" s="13" t="n"/>
      <c r="D9" s="13" t="n"/>
      <c r="E9" s="13" t="n"/>
      <c r="F9" s="13" t="n"/>
      <c r="G9" s="13" t="n"/>
      <c r="H9" s="13" t="n"/>
      <c r="I9" s="13" t="n"/>
      <c r="J9" s="13" t="n"/>
      <c r="K9" s="13"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16"/>
  <sheetViews>
    <sheetView showGridLines="0" workbookViewId="0">
      <pane ySplit="5" topLeftCell="A6" activePane="bottomLeft" state="frozen"/>
      <selection activeCell="A1" sqref="A1"/>
    </sheetView>
  </sheetViews>
  <sheetFormatPr baseColWidth="8" defaultRowHeight="15"/>
  <cols>
    <col width="34" customWidth="1" min="1" max="1"/>
    <col width="42" customWidth="1" min="2" max="2"/>
    <col width="20" customWidth="1" min="3" max="3"/>
    <col width="20" customWidth="1" min="4" max="4"/>
    <col width="68" customWidth="1" min="5" max="5"/>
  </cols>
  <sheetData>
    <row r="1"/>
    <row r="2" ht="28" customHeight="1">
      <c r="A2" s="9" t="inlineStr">
        <is>
          <t>Illustrative selection scorecard — Q6.05 assumptions</t>
        </is>
      </c>
      <c r="B2" s="7" t="n"/>
      <c r="C2" s="7" t="n"/>
      <c r="D2" s="7" t="n"/>
      <c r="E2" s="7" t="n"/>
    </row>
    <row r="3" ht="28" customHeight="1">
      <c r="A3" s="7" t="n"/>
      <c r="B3" s="7" t="n"/>
      <c r="C3" s="7" t="n"/>
      <c r="D3" s="7" t="n"/>
      <c r="E3" s="7" t="n"/>
    </row>
    <row r="4" ht="28" customHeight="1">
      <c r="A4" s="7" t="n"/>
      <c r="B4" s="7" t="n"/>
      <c r="C4" s="7" t="n"/>
      <c r="D4" s="7" t="n"/>
      <c r="E4" s="7" t="n"/>
    </row>
    <row r="5" ht="58" customHeight="1">
      <c r="A5" s="14" t="inlineStr">
        <is>
          <t>Criterion</t>
        </is>
      </c>
      <c r="B5" s="14" t="inlineStr">
        <is>
          <t>Weight</t>
        </is>
      </c>
      <c r="C5" s="14" t="inlineStr">
        <is>
          <t>Candidate A /5</t>
        </is>
      </c>
      <c r="D5" s="14" t="inlineStr">
        <is>
          <t>Candidate B /5</t>
        </is>
      </c>
      <c r="E5" s="14" t="inlineStr">
        <is>
          <t>Evidence and fairness cue</t>
        </is>
      </c>
    </row>
    <row r="6" ht="60" customHeight="1">
      <c r="A6" s="7" t="inlineStr">
        <is>
          <t>Work sample</t>
        </is>
      </c>
      <c r="B6" s="29" t="n">
        <v>0.4</v>
      </c>
      <c r="C6" s="7" t="n">
        <v>4</v>
      </c>
      <c r="D6" s="7" t="n">
        <v>3</v>
      </c>
      <c r="E6" s="12" t="inlineStr">
        <is>
          <t>Proposed weights/scores; verify genuine role relevance.</t>
        </is>
      </c>
    </row>
    <row r="7" ht="60" customHeight="1">
      <c r="A7" s="7" t="inlineStr">
        <is>
          <t>Exception judgement</t>
        </is>
      </c>
      <c r="B7" s="29" t="n">
        <v>0.35</v>
      </c>
      <c r="C7" s="7" t="n">
        <v>3</v>
      </c>
      <c r="D7" s="7" t="n">
        <v>4</v>
      </c>
      <c r="E7" s="12" t="inlineStr">
        <is>
          <t>Do not substitute opportunity-dependent experience for demonstrated competence. P063.</t>
        </is>
      </c>
    </row>
    <row r="8" ht="60" customHeight="1">
      <c r="A8" s="7" t="inlineStr">
        <is>
          <t>Documentation</t>
        </is>
      </c>
      <c r="B8" s="29" t="n">
        <v>0.25</v>
      </c>
      <c r="C8" s="7" t="n">
        <v>4</v>
      </c>
      <c r="D8" s="7" t="n">
        <v>3</v>
      </c>
      <c r="E8" s="12" t="inlineStr">
        <is>
          <t>Use same task, instructions and rubric. P069–P071.</t>
        </is>
      </c>
    </row>
    <row r="9" ht="28" customHeight="1">
      <c r="A9" s="7" t="n"/>
      <c r="B9" s="29" t="n"/>
      <c r="C9" s="7" t="n"/>
      <c r="D9" s="7" t="n"/>
      <c r="E9" s="7" t="n"/>
    </row>
    <row r="10" ht="28" customHeight="1">
      <c r="A10" s="7" t="inlineStr">
        <is>
          <t>Weight total</t>
        </is>
      </c>
      <c r="B10" s="29">
        <f>SUM(B6:B8)</f>
        <v/>
      </c>
      <c r="C10" s="7" t="n"/>
      <c r="D10" s="7" t="n"/>
      <c r="E10" s="7" t="n"/>
    </row>
    <row r="11" ht="28" customHeight="1">
      <c r="A11" s="7" t="inlineStr">
        <is>
          <t>Weighted /5</t>
        </is>
      </c>
      <c r="B11" s="7" t="n"/>
      <c r="C11" s="7">
        <f>SUMPRODUCT(B6:B8,C6:C8)</f>
        <v/>
      </c>
      <c r="D11" s="7">
        <f>SUMPRODUCT(B6:B8,D6:D8)</f>
        <v/>
      </c>
      <c r="E11" s="7" t="n"/>
    </row>
    <row r="12" ht="28" customHeight="1">
      <c r="A12" s="7" t="n"/>
      <c r="B12" s="7" t="inlineStr">
        <is>
          <t>Illustrative ranking only: A = 3.65/5; B = 3.35/5. Do not appoint on total alone if an essential competency threshold is not met.</t>
        </is>
      </c>
      <c r="C12" s="7" t="n"/>
      <c r="D12" s="7" t="n"/>
      <c r="E12" s="7" t="n"/>
    </row>
    <row r="13" ht="120" customHeight="1">
      <c r="A13" s="12" t="inlineStr">
        <is>
          <t>Student action</t>
        </is>
      </c>
      <c r="B13" s="12" t="inlineStr">
        <is>
          <t>Use role-linked criteria, a common task, documented anchors and an agreed minimum threshold; replace these fictional examples if real evidence is available.</t>
        </is>
      </c>
      <c r="C13" s="7" t="n"/>
      <c r="D13" s="7" t="n"/>
      <c r="E13" s="7" t="n"/>
    </row>
    <row r="14" ht="120" customHeight="1">
      <c r="A14" s="12" t="inlineStr">
        <is>
          <t>P–J fit</t>
        </is>
      </c>
      <c r="B14" s="12" t="inlineStr">
        <is>
          <t>P–J fit: assess demonstrated ability to perform defined duties; separate trainable gaps from essential entry requirements.</t>
        </is>
      </c>
      <c r="C14" s="7" t="n"/>
      <c r="D14" s="7" t="n"/>
      <c r="E14" s="7" t="n"/>
    </row>
    <row r="15" ht="120" customHeight="1">
      <c r="A15" s="12" t="inlineStr">
        <is>
          <t>P–O fit</t>
        </is>
      </c>
      <c r="B15" s="12" t="inlineStr">
        <is>
          <t>P–O fit: explain job-relevant expectations and support; avoid identity, background or subjective similarity as a proxy.</t>
        </is>
      </c>
      <c r="C15" s="7" t="n"/>
      <c r="D15" s="7" t="n"/>
      <c r="E15" s="7" t="n"/>
    </row>
    <row r="16" ht="120" customHeight="1">
      <c r="A16" s="12" t="inlineStr">
        <is>
          <t>Onboarding gate</t>
        </is>
      </c>
      <c r="B16" s="12" t="inlineStr">
        <is>
          <t>Onboarding gate: confirm access, role authority, service cover, supervised practice and accepted output before marking ready-to-work.</t>
        </is>
      </c>
      <c r="C16" s="7" t="n"/>
      <c r="D16" s="7" t="n"/>
      <c r="E16" s="7"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8"/>
  <sheetViews>
    <sheetView showGridLines="0" workbookViewId="0">
      <pane ySplit="5" topLeftCell="A6" activePane="bottomLeft" state="frozen"/>
      <selection activeCell="A1" sqref="A1"/>
    </sheetView>
  </sheetViews>
  <sheetFormatPr baseColWidth="8" defaultRowHeight="15"/>
  <cols>
    <col width="13"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row r="2" ht="28" customHeight="1">
      <c r="A2" s="9" t="inlineStr">
        <is>
          <t>Assumptions, authority and decision record</t>
        </is>
      </c>
      <c r="B2" s="7" t="n"/>
      <c r="C2" s="7" t="n"/>
      <c r="D2" s="7" t="n"/>
      <c r="E2" s="7" t="n"/>
      <c r="F2" s="7" t="n"/>
      <c r="G2" s="7" t="n"/>
      <c r="H2" s="7" t="n"/>
    </row>
    <row r="3" ht="28" customHeight="1">
      <c r="A3" s="7" t="n"/>
      <c r="B3" s="7" t="n"/>
      <c r="C3" s="7" t="n"/>
      <c r="D3" s="7" t="n"/>
      <c r="E3" s="7" t="n"/>
      <c r="F3" s="7" t="n"/>
      <c r="G3" s="7" t="n"/>
      <c r="H3" s="7" t="n"/>
    </row>
    <row r="4" ht="28" customHeight="1">
      <c r="A4" s="7" t="n"/>
      <c r="B4" s="7" t="n"/>
      <c r="C4" s="7" t="n"/>
      <c r="D4" s="7" t="n"/>
      <c r="E4" s="7" t="n"/>
      <c r="F4" s="7" t="n"/>
      <c r="G4" s="7" t="n"/>
      <c r="H4" s="7" t="n"/>
    </row>
    <row r="5" ht="58" customHeight="1">
      <c r="A5" s="14" t="inlineStr">
        <is>
          <t>ID</t>
        </is>
      </c>
      <c r="B5" s="14" t="inlineStr">
        <is>
          <t>Missing detail / decision</t>
        </is>
      </c>
      <c r="C5" s="14" t="inlineStr">
        <is>
          <t>Baseline / proposed assumption</t>
        </is>
      </c>
      <c r="D5" s="14" t="inlineStr">
        <is>
          <t>Source P/Q ID</t>
        </is>
      </c>
      <c r="E5" s="14" t="inlineStr">
        <is>
          <t>Why reasonable</t>
        </is>
      </c>
      <c r="F5" s="14" t="inlineStr">
        <is>
          <t>Owner / verification</t>
        </is>
      </c>
      <c r="G5" s="14" t="inlineStr">
        <is>
          <t>Downside test</t>
        </is>
      </c>
      <c r="H5" s="14" t="inlineStr">
        <is>
          <t>Affected cell / AS2 decision</t>
        </is>
      </c>
    </row>
    <row r="6" ht="115" customHeight="1">
      <c r="A6" s="12" t="inlineStr">
        <is>
          <t>Q6.01</t>
        </is>
      </c>
      <c r="B6" s="12" t="inlineStr">
        <is>
          <t>Role accountabilities / competencies</t>
        </is>
      </c>
      <c r="C6" s="12" t="inlineStr">
        <is>
          <t>Student-developed JD/JS; no fictitious recovered records.</t>
        </is>
      </c>
      <c r="D6" s="12" t="inlineStr">
        <is>
          <t>P061–P064; P069–P071</t>
        </is>
      </c>
      <c r="E6" s="12" t="inlineStr">
        <is>
          <t>Explain task relevance.</t>
        </is>
      </c>
      <c r="F6" s="12" t="inlineStr">
        <is>
          <t>Business owner + HR</t>
        </is>
      </c>
      <c r="G6" s="12" t="inlineStr">
        <is>
          <t>Authority not granted</t>
        </is>
      </c>
      <c r="H6" s="12" t="inlineStr">
        <is>
          <t>Job design; D1–D3</t>
        </is>
      </c>
    </row>
    <row r="7" ht="115" customHeight="1">
      <c r="A7" s="12" t="inlineStr">
        <is>
          <t>Q6.02</t>
        </is>
      </c>
      <c r="B7" s="12" t="inlineStr">
        <is>
          <t>Extra onboarding / specialist effort</t>
        </is>
      </c>
      <c r="C7" s="12" t="inlineStr">
        <is>
          <t>Default 0 only if Q5 tasks/allowance already cover it; otherwise estimate hours once.</t>
        </is>
      </c>
      <c r="D7" s="12" t="inlineStr">
        <is>
          <t>Q5.06; P168</t>
        </is>
      </c>
      <c r="E7" s="12" t="inlineStr">
        <is>
          <t>Avoid double-counting teaching blocks.</t>
        </is>
      </c>
      <c r="F7" s="12" t="inlineStr">
        <is>
          <t>Name learner/supervisor and cover owner</t>
        </is>
      </c>
      <c r="G7" s="12" t="inlineStr">
        <is>
          <t>Additional effort consumes capacity</t>
        </is>
      </c>
      <c r="H7" s="12" t="inlineStr">
        <is>
          <t>Inputs B16; per-role override may be required</t>
        </is>
      </c>
    </row>
    <row r="8" ht="115" customHeight="1">
      <c r="A8" s="12" t="inlineStr">
        <is>
          <t>Q6.03</t>
        </is>
      </c>
      <c r="B8" s="12" t="inlineStr">
        <is>
          <t>Vendor delayed start / lower proficiency</t>
        </is>
      </c>
      <c r="C8" s="12" t="inlineStr">
        <is>
          <t>Baseline delay0 / proficiency0.8; downside examples delay1 or proficiency0.6 are student scenarios.</t>
        </is>
      </c>
      <c r="D8" s="12" t="inlineStr">
        <is>
          <t>Q5.07</t>
        </is>
      </c>
      <c r="E8" s="12" t="inlineStr">
        <is>
          <t>Record which assumption is changed.</t>
        </is>
      </c>
      <c r="F8" s="12" t="inlineStr">
        <is>
          <t>Procurement</t>
        </is>
      </c>
      <c r="G8" s="12" t="inlineStr">
        <is>
          <t>Less effective capacity</t>
        </is>
      </c>
      <c r="H8" s="12" t="inlineStr">
        <is>
          <t>Inputs B15 / B9</t>
        </is>
      </c>
    </row>
    <row r="9" ht="115" customHeight="1">
      <c r="A9" s="12" t="inlineStr">
        <is>
          <t>Q6.04</t>
        </is>
      </c>
      <c r="B9" s="12" t="inlineStr">
        <is>
          <t>Additional cash outlay</t>
        </is>
      </c>
      <c r="C9" s="12" t="inlineStr">
        <is>
          <t>Baseline extra cost0; recruitment/induction cash outside vendor rates is a labelled estimate.</t>
        </is>
      </c>
      <c r="D9" s="12" t="inlineStr">
        <is>
          <t>P187–P190; P208</t>
        </is>
      </c>
      <c r="E9" s="12" t="inlineStr">
        <is>
          <t>No salary or revenue record supplied.</t>
        </is>
      </c>
      <c r="F9" s="12" t="inlineStr">
        <is>
          <t>Finance</t>
        </is>
      </c>
      <c r="G9" s="12" t="inlineStr">
        <is>
          <t>Higher transition cash need</t>
        </is>
      </c>
      <c r="H9" s="12" t="inlineStr">
        <is>
          <t>Inputs B17</t>
        </is>
      </c>
    </row>
    <row r="10" ht="115" customHeight="1">
      <c r="A10" s="12" t="inlineStr">
        <is>
          <t>Q6.05</t>
        </is>
      </c>
      <c r="B10" s="12" t="inlineStr">
        <is>
          <t>Selection criteria / weights / scores</t>
        </is>
      </c>
      <c r="C10" s="12" t="inlineStr">
        <is>
          <t>Illustrative 40/35/25; fictitious candidate scores. Replace and justify.</t>
        </is>
      </c>
      <c r="D10" s="12" t="inlineStr">
        <is>
          <t>P063; R3/R4</t>
        </is>
      </c>
      <c r="E10" s="12" t="inlineStr">
        <is>
          <t>Role-specific evidence only.</t>
        </is>
      </c>
      <c r="F10" s="12" t="inlineStr">
        <is>
          <t>HR + line manager</t>
        </is>
      </c>
      <c r="G10" s="12" t="inlineStr">
        <is>
          <t>Threshold excludes capable internal candidate</t>
        </is>
      </c>
      <c r="H10" s="12" t="inlineStr">
        <is>
          <t>Selection example</t>
        </is>
      </c>
    </row>
    <row r="11" ht="115" customHeight="1">
      <c r="A11" s="12" t="inlineStr">
        <is>
          <t>Q6.06</t>
        </is>
      </c>
      <c r="B11" s="12" t="inlineStr">
        <is>
          <t>Release and duplication permissions</t>
        </is>
      </c>
      <c r="C11" s="12" t="inlineStr">
        <is>
          <t>Default release flags0; duplicate included. Identify evidence before changing.</t>
        </is>
      </c>
      <c r="D11" s="12" t="inlineStr">
        <is>
          <t>P024; P027; P183–P184</t>
        </is>
      </c>
      <c r="E11" s="12" t="inlineStr">
        <is>
          <t>Time available is not authorized deployment.</t>
        </is>
      </c>
      <c r="F11" s="12" t="inlineStr">
        <is>
          <t>Named operating and receiving owners</t>
        </is>
      </c>
      <c r="G11" s="12" t="inlineStr">
        <is>
          <t>Approval refused</t>
        </is>
      </c>
      <c r="H11" s="12" t="inlineStr">
        <is>
          <t>Employee allocations J; Inputs B14</t>
        </is>
      </c>
    </row>
    <row r="12" ht="115" customHeight="1">
      <c r="A12" s="12" t="inlineStr">
        <is>
          <t>Q6.07</t>
        </is>
      </c>
      <c r="B12" s="12" t="inlineStr">
        <is>
          <t>Weekly demand timing</t>
        </is>
      </c>
      <c r="C12" s="12" t="inlineStr">
        <is>
          <t>Q5 provides four-week totals; equal weekly phasing is not issued evidence.</t>
        </is>
      </c>
      <c r="D12" s="12" t="inlineStr">
        <is>
          <t>P019–P021; P189</t>
        </is>
      </c>
      <c r="E12" s="12" t="inlineStr">
        <is>
          <t>If proposing delayed supply, state work sequence.</t>
        </is>
      </c>
      <c r="F12" s="12" t="inlineStr">
        <is>
          <t>Delivery owner</t>
        </is>
      </c>
      <c r="G12" s="12" t="inlineStr">
        <is>
          <t>Deadline precedes vendor readiness</t>
        </is>
      </c>
      <c r="H12" s="12" t="inlineStr">
        <is>
          <t>Four scenarios and recommendation</t>
        </is>
      </c>
    </row>
    <row r="13" ht="58" customHeight="1">
      <c r="A13" s="30" t="inlineStr">
        <is>
          <t>Q5-S1</t>
        </is>
      </c>
      <c r="B13" s="30" t="inlineStr">
        <is>
          <t>Bounded delegation</t>
        </is>
      </c>
      <c r="C13" s="30" t="inlineStr">
        <is>
          <t>Scenario 4 uses bounded coordination hours only if documented thresholds, named decision owners and response clocks are accepted.</t>
        </is>
      </c>
      <c r="D13" s="30" t="inlineStr">
        <is>
          <t>Q5.05; P008–P014; P028</t>
        </is>
      </c>
      <c r="E13" s="30" t="inlineStr">
        <is>
          <t>Tests a feasible option without assuming all authority moves.</t>
        </is>
      </c>
      <c r="F13" s="30" t="inlineStr">
        <is>
          <t>Global/regional technical and commercial owners</t>
        </is>
      </c>
      <c r="G13" s="30" t="inlineStr">
        <is>
          <t>If not accepted, use retained-approval scenarios.</t>
        </is>
      </c>
      <c r="H13" s="30" t="inlineStr">
        <is>
          <t>Inputs B13; Four scenarios rows 24–29</t>
        </is>
      </c>
    </row>
    <row r="14" ht="58" customHeight="1">
      <c r="A14" s="31" t="inlineStr">
        <is>
          <t>Q5-S2</t>
        </is>
      </c>
      <c r="B14" s="31" t="inlineStr">
        <is>
          <t>Single customer-data output</t>
        </is>
      </c>
      <c r="C14" s="31" t="inlineStr">
        <is>
          <t>Remove 240 duplicate task hours only after one authoritative output and receiver are agreed.</t>
        </is>
      </c>
      <c r="D14" s="31" t="inlineStr">
        <is>
          <t>Q5.04; P024</t>
        </is>
      </c>
      <c r="E14" s="31" t="inlineStr">
        <is>
          <t>Prevents hiring against duplicate work without proving both outputs are needed.</t>
        </is>
      </c>
      <c r="F14" s="31" t="inlineStr">
        <is>
          <t>Product + regional operations receiving owners</t>
        </is>
      </c>
      <c r="G14" s="31" t="inlineStr">
        <is>
          <t>If receiver refuses, set duplicate flag to 1.</t>
        </is>
      </c>
      <c r="H14" s="31" t="inlineStr">
        <is>
          <t>Inputs B14; Four scenarios C24:C29</t>
        </is>
      </c>
    </row>
    <row r="15" ht="58" customHeight="1">
      <c r="A15" s="31" t="inlineStr">
        <is>
          <t>Q5-S3</t>
        </is>
      </c>
      <c r="B15" s="31" t="inlineStr">
        <is>
          <t>Full internal release</t>
        </is>
      </c>
      <c r="C15" s="31" t="inlineStr">
        <is>
          <t>Potential supply assumes full release of role-pool capacity; individual allocation sheet remains at zero approved hours until evidence exists.</t>
        </is>
      </c>
      <c r="D15" s="31" t="inlineStr">
        <is>
          <t>Q5.03; P027; P183–P184</t>
        </is>
      </c>
      <c r="E15" s="31" t="inlineStr">
        <is>
          <t>Protects existing services and prevents theoretical capacity being treated as approved deployment.</t>
        </is>
      </c>
      <c r="F15" s="31" t="inlineStr">
        <is>
          <t>Named line/source-service managers</t>
        </is>
      </c>
      <c r="G15" s="31" t="inlineStr">
        <is>
          <t>If fewer hours are approved, recalculate with actual employee flags/hours.</t>
        </is>
      </c>
      <c r="H15" s="31" t="inlineStr">
        <is>
          <t>Employee allocations J/K; Work and gaps H/J</t>
        </is>
      </c>
    </row>
    <row r="16" ht="58" customHeight="1">
      <c r="A16" s="31" t="inlineStr">
        <is>
          <t>Q5-S4</t>
        </is>
      </c>
      <c r="B16" s="31" t="inlineStr">
        <is>
          <t>Vendor proficiency sensitivity</t>
        </is>
      </c>
      <c r="C16" s="31" t="inlineStr">
        <is>
          <t>Base 80%; downside 60% are scenario values, not measured Meridian performance.</t>
        </is>
      </c>
      <c r="D16" s="31" t="inlineStr">
        <is>
          <t>Q5.07; Q6.03</t>
        </is>
      </c>
      <c r="E16" s="31" t="inlineStr">
        <is>
          <t>Tests whether vendor budget and coverage remain workable under lower ramp-up.</t>
        </is>
      </c>
      <c r="F16" s="31" t="inlineStr">
        <is>
          <t>Procurement + role owner</t>
        </is>
      </c>
      <c r="G16" s="31" t="inlineStr">
        <is>
          <t>60% lowers effective capacity per vendor from 102.4h to 76.8h.</t>
        </is>
      </c>
      <c r="H16" s="31" t="inlineStr">
        <is>
          <t>Inputs B9/B20; Four scenarios vendor calculations</t>
        </is>
      </c>
    </row>
    <row r="17" ht="115" customHeight="1">
      <c r="A17" s="13" t="n"/>
      <c r="B17" s="13" t="n"/>
      <c r="C17" s="13" t="n"/>
      <c r="D17" s="13" t="n"/>
      <c r="E17" s="13" t="n"/>
      <c r="F17" s="13" t="n"/>
      <c r="G17" s="13" t="n"/>
      <c r="H17" s="13" t="n"/>
    </row>
    <row r="18" ht="115" customHeight="1">
      <c r="A18" s="13" t="n"/>
      <c r="B18" s="13" t="n"/>
      <c r="C18" s="13" t="n"/>
      <c r="D18" s="13" t="n"/>
      <c r="E18" s="13" t="n"/>
      <c r="F18" s="13" t="n"/>
      <c r="G18" s="13" t="n"/>
      <c r="H18" s="13"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40"/>
  <sheetViews>
    <sheetView showGridLines="0" workbookViewId="0">
      <pane ySplit="5" topLeftCell="A6" activePane="bottomLeft" state="frozen"/>
      <selection activeCell="A1" sqref="A1"/>
    </sheetView>
  </sheetViews>
  <sheetFormatPr baseColWidth="8" defaultRowHeight="15"/>
  <cols>
    <col width="23" customWidth="1" min="1" max="1"/>
    <col width="125" customWidth="1" min="2" max="2"/>
  </cols>
  <sheetData>
    <row r="1"/>
    <row r="2" ht="28" customHeight="1">
      <c r="A2" s="9" t="inlineStr">
        <is>
          <t>Case paragraph extracts — original IDs retained</t>
        </is>
      </c>
      <c r="B2" s="7" t="n"/>
    </row>
    <row r="3" ht="28" customHeight="1">
      <c r="A3" s="7" t="n"/>
      <c r="B3" s="7" t="n"/>
    </row>
    <row r="4" ht="28" customHeight="1">
      <c r="A4" s="7" t="n"/>
      <c r="B4" s="7" t="n"/>
    </row>
    <row r="5" ht="58" customHeight="1">
      <c r="A5" s="14" t="inlineStr">
        <is>
          <t>Case paragraph ID</t>
        </is>
      </c>
      <c r="B5" s="14" t="inlineStr">
        <is>
          <t>Original narrative extract</t>
        </is>
      </c>
    </row>
    <row r="6" ht="370" customHeight="1">
      <c r="A6" s="7" t="inlineStr">
        <is>
          <t>P008</t>
        </is>
      </c>
      <c r="B6" s="12" t="inlineStr">
        <is>
          <t>P008  At 7:42 on a Monday morning, Ananya Rao, the country leader responsible for Meridian Global Capability Center India, receives two attachments bearing the same board meeting date. One describes the India centre as the future owner of two global platforms, selected enterprise processes and AI-enabled decision products. The other reserves decisions about customer access, pricing, architecture and exceptions for executives elsewhere. Rao does not know whether the second attachment was circulated by mistake or was intended to qualify the first.
The distinction has practical consequences. Accountability for a product outcome means India will be asked to explain whether the product meets its purpose. A right to recommend means India can prepare a proposal but must wait for someone else to authorize important parts of it. Those arrangements can coexist, but only if their boundaries and dependencies are workable. The documents do not yet explain how India can deliver the promised outcome when a necessary decision is delayed or refused elsewhere. Rao circles the language of ownership and recommendation. Beside the two passages she writes, “When India must answer for the outcome, who must answer for a decision India is not allowed to make?” She leaves both attachments in the board pack. The unresolved wording could determine what the proposed jobs will actually allow people to do.
For Rao, the contradiction would surface in an ordinary review of a product team’s performance. The team could be asked why a customer problem remained unresolved, yet its explanation might depend on a decision that only a regional office could make. The first attachment would support the demand for an answer from India; the second would support the region’s insistence that India should have waited. Neither attachment described how to handle that disagreement. Rao’s difficulty was therefore not a lack of ambition for the centre. She needed to know whether the board was changing the work, the authority to perform it, or only the location at which an unsatisfactory outcome would be reported.</t>
        </is>
      </c>
    </row>
    <row r="7" ht="370" customHeight="1">
      <c r="A7" s="7" t="inlineStr">
        <is>
          <t>P009</t>
        </is>
      </c>
      <c r="B7" s="12" t="inlineStr">
        <is>
          <t>P009  Meridian Global Capability Center India, referred to as MGCCI, employs 8,400 people. It began twenty-two years earlier with finance processing and application support and grew into engineering, data, cybersecurity, procurement, people services and customer operations. Its reputation was earned by performing work accurately and reliably across time zones. That existing work is not a disposable past: customers and internal business units still depend on it.
The parent now wants shorter product cycles, greater resilience and more original design from India. These ambitions must be pursued while current services continue, within a restricted first-year budget for a three-year transition. Rao therefore faces a transition problem as well as a future-design problem. People cannot be counted as wholly available for a new mandate while their old duties remain unchanged. Nor can promised savings be treated as available cash before the work producing the cost has safely stopped. The centre must identify what will change, what must continue and how the two will be supported during the overlap.</t>
        </is>
      </c>
    </row>
    <row r="8" ht="370" customHeight="1">
      <c r="A8" s="7" t="inlineStr">
        <is>
          <t>P010</t>
        </is>
      </c>
      <c r="B8" s="12" t="inlineStr">
        <is>
          <t>P010  Meridian’s public account of the GCC emphasizes integrated global capability: specialist talent in India should help shape consequential work across markets. Its operating procedures still send many important decisions back to headquarters or regional offices. An advisory team arrives before the organization has settled which description governs an actual customer request. “Before you show me a new organization chart, follow one customer request,” Rao tells the advisers. “Show me what the team can decide, what it must send elsewhere and where the answer stops.”
Their immediate question is concrete. When the centre promises a product outcome, which people can authorize the steps needed to achieve it, what evidence must they see and what happens when their decisions depend on one another? A reporting line can identify a manager without answering those questions. A delivery date can identify a target without confirming that the necessary permissions will exist in time. The release now approaching its deadline will expose the difference. To understand it, the story first returns to the demonstration held in the week before Rao received the two attachments.
MOVEMENT I | THE RELEASE THAT DID NOT BELONG TO ANYONE
The board’s clock</t>
        </is>
      </c>
    </row>
    <row r="9" ht="370" customHeight="1">
      <c r="A9" s="7" t="inlineStr">
        <is>
          <t>P019</t>
        </is>
      </c>
      <c r="B9" s="12" t="inlineStr">
        <is>
          <t>P019  The project plan said the feature was ready on Monday. The system log showed a failed validation on Tuesday. Customer operations said the needed consent was never in place, and the engineering team said it had been told that consent was routine. Each timestamp was accurate for a different stage. The disagreement began when managers treated all three as one release date.
An engineer using the project plan could reasonably report that a piece of development work was complete. The failed validation meant that readiness for the proposed use still needed examination. Customer operations was answering a further question: whether the actual use had been permitted. Treating any one of these statements as a lie would obscure the work still outstanding. The consequential error was to let the word “ready” move from one record to another without carrying the condition attached to it. A customer hearing the same word would not know that Meridian’s functions were referring to different stopping points.</t>
        </is>
      </c>
    </row>
    <row r="10" ht="370" customHeight="1">
      <c r="A10" s="7" t="inlineStr">
        <is>
          <t>P020</t>
        </is>
      </c>
      <c r="B10" s="12" t="inlineStr">
        <is>
          <t>P020  A junior analyst assembled a timeline with three clocks: when technical work could proceed, when a commercial decision could be made, and when customer use would be permitted. The clocks never ran together. An approval timestamp appeared in the system after the architecture council had already deferred its exception, though an email said the commercial lead had verbally accepted the price earlier. The analyst could not determine whether that verbal assent counted. Nobody wanted to sign a revised record that might make their area look responsible for the delay.
The three clocks describe different kinds of readiness, not three alternative stories from which a convenient one can be selected. Technical readiness concerns the feature and its evidence; commercial readiness concerns the terms and commitments; permission for customer use concerns the actual configuration and data. An earlier timestamp on one clock cannot establish that the others were complete. The timeline must show both the separate stages and the point at which they can legitimately be brought together.</t>
        </is>
      </c>
    </row>
    <row r="11" ht="370" customHeight="1">
      <c r="A11" s="7" t="inlineStr">
        <is>
          <t>P021</t>
        </is>
      </c>
      <c r="B11" s="12" t="inlineStr">
        <is>
          <t>P021  The board report reduced the sequence to “late escalation by India.” Kabir produced his six-week-old message. Elena said early notice was not equivalent to a complete decision pack. Kabir agreed that the pack had gaps; he asked why no one had named them until the deadline. Devika pointed to an overlooked data quality warning. Each challenge made the preceding explanation less complete without making it false. The report had used the date of the formal escalation, not the date of Kabir’s first warning. Both dates were accurate within their respective records. One made the delay seem like a local failure; the other showed a decision waiting for several functions. Rao asked for the missing correspondence before anyone settled the account in the board minutes. The board secretary asked Kabir to sign off the phrase “late escalation.” He refused to certify it without his earlier message attached. Elena agreed to attach the message but wanted the gaps in the pack noted as well. The compromise produced a report with two explanations beside the same missed date. A director looking only at the headline would see tardiness in Bengaluru; one reading the attachment would see a warning that had crossed several offices without becoming a decision. Neither record alone would tell the board whether the next release could be authorized safely.
Kabir’s six-week-old message mattered because it contradicted the suggestion that the dependency had become visible only at the last moment. Elena’s objection mattered because a warning could arrive before the material needed for a decision. Devika’s data warning mattered because neither chronology settled whether the release itself was sound. A fair account had to retain all three rather than use one to cancel the others. It also had to ask what happened after the first warning: whether anyone identified the missing material, who was expected to supply it and why that exchange did not lead to a decision. The headline was consequential because it could turn a cross-functional failure into a recorded deficiency of the India team while leaving the next release exposed to the same arrangement.</t>
        </is>
      </c>
    </row>
    <row r="12" ht="370" customHeight="1">
      <c r="A12" s="7" t="inlineStr">
        <is>
          <t>P023</t>
        </is>
      </c>
      <c r="B12" s="12" t="inlineStr">
        <is>
          <t>P023  Workforce planning had anticipated the product expansion. Its model translated initiatives into 600 new positions across engineering, analytics and operations. The request was widely described as ambitious. It had not been calculated from a common account of the work. Product expected many hires to close a capability gap; operations expected relief for the staff it could not release; finance expected some work to be retired.
The three departments were not merely negotiating the size of one shared requirement. Product was describing expertise needed for new work. Operations was describing people needed to keep old work running when experienced colleagues moved. Finance was assuming some work would no longer need to be done. These descriptions could overlap: the same proposed appointment might be treated as growth by product, relief by operations and a transition cost by finance. Until Meridian identified which existing duties would remain and which new tasks actually required additional capability, agreement on 600 would be agreement on a number with different meanings behind it.</t>
        </is>
      </c>
    </row>
    <row r="13" ht="370" customHeight="1">
      <c r="A13" s="7" t="inlineStr">
        <is>
          <t>P024</t>
        </is>
      </c>
      <c r="B13" s="12" t="inlineStr">
        <is>
          <t>P024  The planning workbook listed the same customer data preparation under both product and regional operations. It also assumed that every architecture exception would receive its decision within five days. Kabir’s release had waited longer. A vendor was prepared to supply teams quickly under a flexible capacity agreement. Procurement noted that the vendor’s staff would still depend on the same approvals and access rules.
The duplicated customer-data preparation was a specific warning about what the new positions might be asked to do. Hiring against both entries could preserve two versions of the same activity without anyone deciding whether both were necessary. The five-day architecture assumption was a different warning: staffing had been calculated as though a permission would arrive within a period the release record did not support. The vendor could supply people under a flexible agreement, but those people would still join the same access and approval arrangements. More staff could increase the amount of prepared work waiting at the gate rather than the amount of work a customer could use. Neither issue proved that hiring was unnecessary; both changed what Meridian needed to establish before funding it.</t>
        </is>
      </c>
    </row>
    <row r="14" ht="370" customHeight="1">
      <c r="A14" s="7" t="inlineStr">
        <is>
          <t>P025</t>
        </is>
      </c>
      <c r="B14" s="12" t="inlineStr">
        <is>
          <t>P025  Meera Nair, an operations specialist, offered an awkward example. Her team was asked to produce a weekly report that no product manager seemed to read. It occupied two experienced employees each Thursday. When she proposed ending it, a regional contact said it was needed for assurance, though no one could locate the decision that required it. “Which decision requires this report, and who can authorize us to stop it?” Meera asked. “Otherwise a new team may build a faster version and leave us producing the old one every Thursday.” Her concern was that the specialist team would add an output without releasing the experienced employees already doing the work.
Meera’s question was not whether a weekly report looked old-fashioned. Two experienced employees were occupied every Thursday, and the product managers she approached did not appear to use the output. The regional reply invoked assurance without identifying the decision or obligation that required this particular report. That left two risks in opposite directions. Stopping it without understanding its purpose could remove a safeguard. Building a faster version while leaving the original instruction active could add another output without releasing anybody’s time. The missing information was what the report actually protected and who could authorize a different way of providing that protection.</t>
        </is>
      </c>
    </row>
    <row r="15" ht="370" customHeight="1">
      <c r="A15" s="7" t="inlineStr">
        <is>
          <t>P026</t>
        </is>
      </c>
      <c r="B15" s="12" t="inlineStr">
        <is>
          <t>P026  Finance requested a revised estimate distinguishing work that needed people from work that needed permission, redesigned handoffs or retired obligations. The reply included a new total but no trace of those distinctions. Rao placed the request beside Kabir’s timeline. “If six hundred people began next month, which of these delays would disappear by Friday?” Rao asked. The revision meeting ended with finance partner Omar Bose asking for one column of positions that could be hired immediately. HR supplied names of roles, but product could not say which of those people would have authority to settle the design exceptions. Operations could not say which old duties would stop when they arrived. The launch date remained fixed in the marketing plan. Omar marked three assumptions in red and told Rao that the figure could be a ceiling for debate, but not yet a funding request. The chief executive still wanted a number at the Friday review.
Omar’s request for a fundable column was an attempt to separate positions Meridian could justify now from positions whose usefulness depended on unresolved changes. A named role was not enough. A new specialist might possess the required skill yet remain unable to access the customer records or settle a design exception. An internal transfer might fill a product position while leaving an uncovered service duty behind. Calling 600 a ceiling acknowledged an ambition without treating all those dependencies as already resolved. The pressure for a Friday number did not remove them; it made the cost of leaving them unexplained easier to overlook.
A meeting with no easy culprit</t>
        </is>
      </c>
    </row>
    <row r="16" ht="370" customHeight="1">
      <c r="A16" s="7" t="inlineStr">
        <is>
          <t>P027</t>
        </is>
      </c>
      <c r="B16" s="12" t="inlineStr">
        <is>
          <t>P027  At the first cross-functional review, Devika defended controls, Elena defended market authority and Kabir defended the release team. Meera spoke only after Rao asked what would happen to routine service if the product work expanded. She named two colleagues who could diagnose an obscure data fault; both were already being sought for the pilot. No one had planned replacements. “If both of them move to the pilot, who handles that fault in the service queue?” Meera asked. The room moved quickly to “knowledge transfer.” She pressed the point: “When are they supposed to teach someone else, and which part of their present work will be covered while they do it?” Neither colleague had available time to teach.
The two colleagues Meera named represented a dependency that headcount alone did not reveal. They could diagnose a particular fault that the pilot needed to understand, and operations already depended on them. “Knowledge transfer” sounded like a way to make that dependence temporary. It still required the experts to explain the fault, another person to learn it and time to check whether the explanation worked on difficult cases. None of those activities happened simply because the meeting adopted the phrase. Asking the same people to support the pilot, maintain the service and train replacements would create several simultaneous claims on their working time.</t>
        </is>
      </c>
    </row>
    <row r="17" ht="370" customHeight="1">
      <c r="A17" s="7" t="inlineStr">
        <is>
          <t>P028</t>
        </is>
      </c>
      <c r="B17" s="12" t="inlineStr">
        <is>
          <t>P028  “Does every exception need the council, or can we identify the ones a qualified local team can decide?” Arvind asked. An architect replied that local teams sometimes combined minor changes into a request with wider consequences. He described a past incident in which hurried delegation had produced rework for three markets. Kabir acknowledged the incident. “Then show us where that threshold is,” he said. “We need to know when several small changes become a decision for the council.” The architect promised to send an older policy. He later sent a document bearing a previous business unit’s name.
The architect’s earlier incident prevented Arvind’s argument from becoming a simple demand to delegate everything labelled minor. Several individually small changes could combine into a wider effect, and hurried delegation had already produced rework in three markets. Kabir’s response was different: if that was the reason for review, the organization needed an intelligible boundary showing when a request acquired that wider significance. An old policy under a previous business unit’s name did not establish that the present teams shared the same boundary. The practical gap was between an engineer calling a change minor and an authorized reviewer agreeing that its combined effects were sufficiently contained.</t>
        </is>
      </c>
    </row>
    <row r="18" ht="370" customHeight="1">
      <c r="A18" s="7" t="inlineStr">
        <is>
          <t>P029</t>
        </is>
      </c>
      <c r="B18" s="12" t="inlineStr">
        <is>
          <t>P029  The advisers received meeting notes from two attendees. In one, the group agreed to review decision rights. In the other, it agreed to improve the escalation pack. Both actions might help, but neither settled the discrepancy. An argument about employee capability was beginning to conceal a disagreement about authority, and an argument about authority threatened to ignore real gaps in capability.
The difference between the minutes would change what people did next. A team following the first account might wait for a review of who could decide. A team following the second might improve its documentation while accepting the existing allocation of authority. Better documentation could be necessary without making the authority arrangement adequate. Delegation could also be appropriate without making incomplete evidence acceptable. The two records therefore pointed towards different interventions in the same incident. If nobody reconciled them, each function could later report that it had completed the action it understood while the other function remained waiting for something else.</t>
        </is>
      </c>
    </row>
    <row r="19" ht="370" customHeight="1">
      <c r="A19" s="7" t="inlineStr">
        <is>
          <t>P042</t>
        </is>
      </c>
      <c r="B19" s="12" t="inlineStr">
        <is>
          <t>P042  In the board meeting the chief executive praised MGCCI’s history and described the next stage as a transition from capable execution to global ownership. A director asked what resources it required. The workforce request was ready. Rao instead set out the unanswered choices beside the request: which platform decisions belonged in India, what remained with the regions, what customer risk still demanded an independent check, and what service work could safely stop or move.</t>
        </is>
      </c>
    </row>
    <row r="20" ht="370" customHeight="1">
      <c r="A20" s="7" t="inlineStr">
        <is>
          <t>P043</t>
        </is>
      </c>
      <c r="B20" s="12" t="inlineStr">
        <is>
          <t>P043  One director asked whether she was resisting growth. Rao said that hiring might be needed, but the request presently combined four different shortages: skill, time, access and authority. Another director asked why the leadership team had waited so long to notice. Devika began to explain the history of migration. Elena mentioned commercial duties. Kabir, joining remotely, said that the same milestone could be late for three different reasons. The chair did not grant all of them additional time. One director proposed approving the 600 roles but holding recruitment until the governance questions were answered. Rao asked what would happen to accepted offers if the rights never moved. Another director proposed moving authority first and hiring later. Kabir pointed to the existing queue, which could not absorb a larger mandate overnight. The board needed a sequence with reversible steps. A full commitment to either order could create a failure that would then be called proof that India lacked capability.
The shortages Rao named were visible in different parts of the release. The need for specialist product work raised a capability question. Meera’s continuing duties raised a question about usable time. Regional records and customer contact raised an access question. The architecture exception and commercial approval raised an authority question. A new hire could address one and encounter the others immediately. Moving approval rights first would not instantly supply scarce expertise or relieve an existing service queue either. The board’s sequencing problem was to identify a next step that could actually function while the remaining conditions were still being negotiated, rather than commit the whole workforce plan to an untested assumption about what would move first.</t>
        </is>
      </c>
    </row>
    <row r="21" ht="370" customHeight="1">
      <c r="A21" s="7" t="inlineStr">
        <is>
          <t>P044</t>
        </is>
      </c>
      <c r="B21" s="12" t="inlineStr">
        <is>
          <t>P044  The board authorized a bounded pilot and required credible progress within twelve months. No permanent transfer of decision rights was approved. Nor was the 600-position request accepted as submitted. Rao had gained space to learn and a narrower budget within which to learn it. She returned to India with a mandate that looked simpler on paper than it did in conversation.
The bounded pilot was permission to test a narrower arrangement, not confirmation that the centre already owned the wider mandate. The twelve-month expectation created pressure to demonstrate progress, while the absence of permanent transferred rights limited what Rao could promise employees and customers. A pilot could generate evidence about capability and decision-making. It could also succeed through temporary exceptions that would be difficult to reproduce at scale. The board’s decision made it important to record not only what improved, but which permissions, people and service support made that improvement possible.</t>
        </is>
      </c>
    </row>
    <row r="22" ht="370" customHeight="1">
      <c r="A22" s="7" t="inlineStr">
        <is>
          <t>P050</t>
        </is>
      </c>
      <c r="B22" s="12" t="inlineStr">
        <is>
          <t>P050  The board secretary sent a data pack after the meeting. Its first tab showed three years of steady service performance: the legacy finance processes had achieved more than 99 percent on-time completion in each year, while the product pilot’s release metric had no comparable history. The second tab separated approval delay from rework for only six projects. In four, approvals had taken longer than the underlying engineering; in two, the submitted material had genuinely lacked customer or technical evidence. Kabir’s disputed release was one of the six. Neither camp could use the pack as a simple vindication.
The more-than-99-percent service record gave Devika’s account substance: the existing arrangement had supported dependable performance in work with an established history. It did not show that exactly the same arrangement suited the product pilot. The six-project sample also resisted a single explanation. Four cases made decision waiting visible; two made genuinely missing evidence visible. Six projects were too limited to establish the size of every problem across MGCCI. They were sufficient to prevent a credible diagnosis from assuming either that all delay came from unnecessary controls or that all delay came from inadequate local preparation.</t>
        </is>
      </c>
    </row>
    <row r="23" ht="370" customHeight="1">
      <c r="A23" s="7" t="inlineStr">
        <is>
          <t>P051</t>
        </is>
      </c>
      <c r="B23" s="12" t="inlineStr">
        <is>
          <t>P051  A third tab contained the proposed 600-position calculation. It assumed ten new product squads, but only seven had funded customer demand. It treated a vacancy as productive from its first day, though the centre’s own hiring records showed several months between requisition, offer and effective contribution for scarce roles. It counted vendor capacity in people, not in decisions those people could complete. A footnote said that the assumptions had been provided by the business. The business lead said he had supplied an ambition, not a staffing model.
The gap between ten planned squads and seven with funded customer demand mattered before any debate about how many people belonged in a squad. The model was treating an intended expansion as if every part were already commissioned. It then brought scarce appointments into productive work on day one, even though Meridian’s hiring records showed a longer route from requisition to effective contribution. Those assumptions affected when capability would be available, not only what it would cost. The material did not supply enough comparable task and capacity detail to calculate a defensible replacement for 600. Producing a smaller, more confident-looking total without that detail would repeat the model’s original weakness.</t>
        </is>
      </c>
    </row>
    <row r="24" ht="370" customHeight="1">
      <c r="A24" s="7" t="inlineStr">
        <is>
          <t>P052</t>
        </is>
      </c>
      <c r="B24" s="12" t="inlineStr">
        <is>
          <t>P052  Rao asked the advisers to reconcile four possibilities. One: work had grown and people were needed. Two: the same people spent too much time on duplicated reporting and waiting. Three: the required skills differed from those available, so an apparently full team could still be incapable of a new task. Four: control rights elsewhere made all local capacity look inadequate. The possible causes interacted. A rushed hire into an unclear job would raise cost before improving output. An abrupt cut in old controls might improve cycle time while exposing a customer. A decision about structure would therefore be a decision about the workforce, and vice versa.</t>
        </is>
      </c>
    </row>
    <row r="25" ht="370" customHeight="1">
      <c r="A25" s="7" t="inlineStr">
        <is>
          <t>P061</t>
        </is>
      </c>
      <c r="B25" s="12" t="inlineStr">
        <is>
          <t>P061  The vacancy described a Global Product Owner who would set priorities, speak to customers and be accountable for product outcomes. Its final paragraph required approval from three regional partners before a customer-facing change. Recruiter Sana Qureshi noticed that the first and last paragraphs seemed to refer to different jobs. “The opening says the person will own the customer journey,” she said. “The last paragraph says three regional partners must approve a customer-facing change. Which decisions are we actually offering this person?” The hiring manager said the wording had been signed off by the global team and should not be delayed over semantics. The recruitment landing page had been scheduled to go live at dawn. It offered ownership of the customer journey, while the operating schedule named the region as final approver for every customer-facing change. A candidate who accepted the offer could inherit the outcome but could not alter the condition producing it. Sana asked communications to hold the launch. Elena replied that pulling the page would jeopardize a customer event already booked around the new centre. Neither could settle the question alone: the one word at issue appeared in the job offer, the campaign and the board paper.
Sana was being asked to attract a person capable of setting priorities while publishing an approval requirement that could prevent that person from changing anything a customer would see. Those were not harmless differences in wording. An applicant could evaluate the first description as a product-leadership opportunity and discover the second as a daily job of chasing consent. Holding the landing page would affect the already planned customer event, which explained Elena’s urgency. Publishing it would carry the unresolved mandate into a promise to another employee. Recruitment could not settle the conflict merely by making the sentence more appealing.</t>
        </is>
      </c>
    </row>
    <row r="26" ht="370" customHeight="1">
      <c r="A26" s="7" t="inlineStr">
        <is>
          <t>P062</t>
        </is>
      </c>
      <c r="B26" s="12" t="inlineStr">
        <is>
          <t>P062  Leena Fernandes, a candidate with experience in enterprise products, asked at interview, “Which decisions can I make from India in the first ninety days?” Sana forwarded the question to the panel. “Authority will grow with trust,” the product director replied. Leena asked, “What will show that I have earned that trust, who will assess it, and which decisions will change as a result?” The panel spoke of a three-year transformation. None of its members could name the decisions in the first ninety days.
Leena’s first-ninety-days question translated an attractive title into actual work. Could she choose which customer need should take priority, obtain the evidence behind it and authorize a defined product response? Or would she mainly prepare recommendations for regional approval? “Authority will grow with trust” left her unable to tell what she would be allowed to do initially, whose judgement would establish trust or what evidence would lead to a change. She was not demanding freedom from every commercial check. She was asking the panel to distinguish authority already attached to the appointment from authority Meridian hoped to negotiate later. A three-year ambition did not answer that first-day question.</t>
        </is>
      </c>
    </row>
    <row r="27" ht="370" customHeight="1">
      <c r="A27" s="7" t="inlineStr">
        <is>
          <t>P063</t>
        </is>
      </c>
      <c r="B27" s="12" t="inlineStr">
        <is>
          <t>P063  Meanwhile MGCCI posted internal opportunities for the pilot. Meera read one at home. It asked for cross-market product experience she had never been permitted to acquire, though she knew more about the maintenance data than most external applicants. “I will support your development,” her manager, Prakash, told her. “But I cannot release you while this process still depends on you and there is nobody ready to cover it.” Her current manager had signed a reference letter praising her reliability, but the roster showed that each proposed shadowing day had been cancelled to cover an exception queue. She saved the vacancy notice beside the cancellation messages. She was unsure whether the advertised route was meant for someone like her or for someone who had already been given the opportunity it described.
The requirement for cross-market product experience could be relevant to the new role and still expose a problem in Meridian’s development arrangements. Meera’s knowledge of the maintenance data did not automatically supply every capability the pilot needed. Yet the cancelled shadowing days showed why asking her simply to acquire more experience was incomplete. Her manager’s praise recognized the very reliability that kept her on the old roster. She could meet the current team’s expectations or attend the activity intended to prepare her for the next role, but the organization had not made both possible. The vacancy treated experience as an individual qualification without explaining how an employee in her situation could obtain it.</t>
        </is>
      </c>
    </row>
    <row r="28" ht="370" customHeight="1">
      <c r="A28" s="7" t="inlineStr">
        <is>
          <t>P064</t>
        </is>
      </c>
      <c r="B28" s="12" t="inlineStr">
        <is>
          <t>P064  The two applicants saw different promises. Leena was being invited into a position whose authority might arrive later. Meera was being invited to demonstrate experience that the existing organization had denied her. Both vacancies bore Meridian’s pledge to create opportunity. Sana reported that Leena and Meera had both asked versions of the same question in separate rooms. Leena asked which customer decision would be hers on the first day. Meera asked how she could acquire the experience required in the vacancy. The hiring panel regarded these as candidate concerns. Rao saw a design contradiction: the company could recruit a qualified outsider into a role with uncertain rights, or reject an insider for lacking practice the company had not allowed her to undertake. The vacancy closed at midnight, while the authority discussion was scheduled for the following month.
The work behind the title</t>
        </is>
      </c>
    </row>
    <row r="29" ht="370" customHeight="1">
      <c r="A29" s="7" t="inlineStr">
        <is>
          <t>P069</t>
        </is>
      </c>
      <c r="B29" s="12" t="inlineStr">
        <is>
          <t>P069  Meera’s weekly report began with two extracts, one from a stable service system and one from a newer product feed. She reconciled unusual records by hand because a field changed meaning when an older customer contract was renewed. The rule was nowhere in the process manual. New hires learned it from watching her correct an exception. Without the correction, the product demonstration could still look successful while a customer’s maintenance history was wrong.
The older contract changed what a field meant; it was not just a missing number that any new analyst could fill in from the manual. Meera recognized when a record needed different treatment and corrected it before the combined output misrepresented the customer’s history. The demonstration could appear successful because its visible feature worked, while the underlying history remained wrong for an exceptional case. Her contribution lay partly in knowing when the normal-looking record should not be treated normally. Giving another employee the written procedure would not transfer that judgement unless the exception and the reason for it were also explained and tested. The time needed for that work was a resource the pilot had not yet secured.</t>
        </is>
      </c>
    </row>
    <row r="30" ht="370" customHeight="1">
      <c r="A30" s="7" t="inlineStr">
        <is>
          <t>P070</t>
        </is>
      </c>
      <c r="B30" s="12" t="inlineStr">
        <is>
          <t>P070  Her manager called her indispensable. The word sounded like praise until it prevented a pilot secondment. Prakash had asked twice for a replacement and received instructions to automate the report. An automation team required the exact logic before it could proceed; documenting that logic needed Meera’s time. She finished the service work and wrote notes at night, but the project plan treated documentation as already available.
The instruction to automate the report depended on the very person Prakash could not release. The automation team needed exact logic; the written procedure did not contain everything Meera used; Meera’s time was already occupied in keeping the output reliable. Treating documentation as available removed an unfinished task from the plan without removing the need to perform it. Her evening notes supplied progress that the timetable made look costless. The word “indispensable” therefore had a consequence beyond praise: the service retained her because it relied on her knowledge, while the proposed route out of that dependence also relied on unallocated time from her.</t>
        </is>
      </c>
    </row>
    <row r="31" ht="370" customHeight="1">
      <c r="A31" s="7" t="inlineStr">
        <is>
          <t>P071</t>
        </is>
      </c>
      <c r="B31" s="12" t="inlineStr">
        <is>
          <t>P071  The product team invited Meera to one meeting and called her “the operations voice.” She corrected a mistaken assumption about the data. The team thanked her, then carried on without including her in later design decisions. Its members had not intended to exclude her. They believed she was too busy, and she was. An external consultant was engaged to map the same process because the pilot budget could fund a vendor more easily than it could backfill her position.
The invitation to one meeting gave Meera a chance to correct an assumption. It did not give her a continuing place in the decisions that would use the corrected data. The team's belief that she was too busy had a basis in her workload, but leaving her out also made the pilot less able to discover when her knowledge was needed. Hiring a consultant appeared easier because the pilot could pay a vendor from its budget while backfill belonged to a different account. The purchasing route changed who could attend the work, not whose knowledge the work required. The consultant would still need to understand the exceptions Meera carried.</t>
        </is>
      </c>
    </row>
    <row r="32" ht="370" customHeight="1">
      <c r="A32" s="7" t="inlineStr">
        <is>
          <t>P168</t>
        </is>
      </c>
      <c r="B32" s="12" t="inlineStr">
        <is>
          <t>P168  The operations lead presented a weekly rota. The same specialists who understood legacy exceptions had absorbed customer calls after the product team’s releases. If they spent time teaching the new team, service cover fell; if they retained all calls, the new team remained dependent. A protected practice block for three employees looked inexpensive on Omar’s annual salary line, but expensive in a weekly schedule with no relief capacity. The organization needed to choose what would be delayed or funded, rather than assuming development happened between duties. The rota did not identify this as pilot support. Its extra hours appeared under ordinary service, and its customer recoveries appeared in a legacy dashboard. A financial review that counted product progress while leaving this work in the old category would credit the new unit for speed partly supplied by unseen colleagues.
Protected practice looked affordable when viewed as a small share of annual salaries. The weekly rota showed why it could still be difficult to execute: the same specialists had service calls that someone else would have to answer while they taught. Leaving those calls with them would preserve dependence; moving them without cover would expose current service. The extra hours recorded as ordinary operations also hid part of the pilot’s actual support cost. The plan needed to identify what would be funded, postponed or stopped during learning instead of treating development as work that happened between other duties.</t>
        </is>
      </c>
    </row>
    <row r="33" ht="370" customHeight="1">
      <c r="A33" s="7" t="inlineStr">
        <is>
          <t>P183</t>
        </is>
      </c>
      <c r="B33" s="12" t="inlineStr">
        <is>
          <t>P183  At 4:10 p.m. a legacy process failed and customers in two markets could not see current maintenance records. The product team was preparing a separate expansion release. Operations needed Meera and another specialist to restore the old feed. Product needed them to validate that the new platform would not inherit the fault. Both teams escalated to Rao.
The service restoration and the expansion validation were separate tasks competing for the same scarce expertise. Adding names to both incident teams would not make Meera or the other specialist available in two places at once. Nor could the teams assume the fault belonged exclusively to the old process: product needed their judgement precisely to establish whether the new platform could inherit it. The incident exposed a dependency that a future-state plan could conceal by drawing legacy and product as separate workstreams. In that afternoon’s work, the boundary between them did not divide the knowledge required.</t>
        </is>
      </c>
    </row>
    <row r="34" ht="370" customHeight="1">
      <c r="A34" s="7" t="inlineStr">
        <is>
          <t>P184</t>
        </is>
      </c>
      <c r="B34" s="12" t="inlineStr">
        <is>
          <t>P184  The board had been told that the new work would not compromise existing service. It had not said how to choose when the same expertise was needed in two places at once. Kabir proposed postponing the release. A regional leader warned that a delay would damage a customer commitment. Devika said the service incident had immediate exposure. Farah found a way to preserve one test path, but doing so would not replace the specialists’ judgment.
Postponing the release would disappoint a customer commitment and consume pilot time. Continuing it without the specialists could weaken validation while operations struggled with an immediate failure affecting existing customers. Farah’s preserved test path helped keep one piece of work possible; it did not replace the judgement needed to understand the shared fault. Rao therefore faced a choice about priority and available expertise, not merely a scheduling conflict that the two teams should resolve by trying harder. The promise that new work would not compromise old service had not supplied a rule for this simultaneous demand.</t>
        </is>
      </c>
    </row>
    <row r="35" ht="370" customHeight="1">
      <c r="A35" s="7" t="inlineStr">
        <is>
          <t>P187</t>
        </is>
      </c>
      <c r="B35" s="12" t="inlineStr">
        <is>
          <t>P187  Finance announced that the expansion envelope would remain at its present level for the remainder of the year. The proposal before Rao included external specialists, protected practice time, temporary service cover, better customer data access and changes to global coordination. Each item addressed a visible problem. They could not all be bought at once without stopping or reshaping other work.
The fixed envelope did not mean every proposed item lacked value. It meant that their benefits had to be considered alongside their timing and dependence on one another. A specialist could help with product work but still need internal customer knowledge. Protected practice could develop an employee but still require cover. Better access could make existing capability more useful without adding a person. The proposal needed to identify which combination would make the next stage executable, rather than fund the most visible item and assume the other conditions would be supplied informally.</t>
        </is>
      </c>
    </row>
    <row r="36" ht="370" customHeight="1">
      <c r="A36" s="7" t="inlineStr">
        <is>
          <t>P188</t>
        </is>
      </c>
      <c r="B36" s="12" t="inlineStr">
        <is>
          <t>P188  Procurement offered a lower-cost vendor team. It could produce design work quickly but would still require internal decisions and customer knowledge. HR proposed reducing the number of external hires to create transition capacity for existing employees. The product office worried that doing so would miss a near-term deadline. Devika proposed retiring several reports, including Meera’s Thursday output, once the exceptional contract rule could be tested in the new system. Meera cautioned against counting the saving before that test. Devika asked the vendor what would happen when a design question touched an old customer contract. The price assumed a clean input and a single internal approver. The people who could supply the contract history were already covering live service. The quote solved a production task while leaving the decision and the scarce contextual knowledge inside Meridian.
The vendor’s clean-input and single-approver assumptions were not details at the edge of the quote. Meera’s contract exception showed that the inputs needed interpretation, and the opening release showed that several authorities could be involved. Internal staff would still have to supply that interpretation and bring the decisions together. A lower quoted production cost could therefore coexist with substantial internal work left outside the purchase. Devika’s willingness to consider retiring reports did not reverse her concern about control: she tied retirement to testing the exceptional rule in the new system, rather than treating the report’s removal as proof that the underlying risk had gone.</t>
        </is>
      </c>
    </row>
    <row r="37" ht="370" customHeight="1">
      <c r="A37" s="7" t="inlineStr">
        <is>
          <t>P189</t>
        </is>
      </c>
      <c r="B37" s="12" t="inlineStr">
        <is>
          <t>P189  Finance requested a phased plan with assumptions, dependencies and a condition for stopping. The first draft showed the desired future in detail and the difficult period between present and future in a thin arrow. Rao circled the arrow. “This is where Meera has two sets of duties, where service still needs cover and where the money is spent before a saving appears,” she said. “Show me that period, not just the organization we hope to have afterwards.”
The thin arrow hid the period in which old service would still operate, new work would be learned, exceptions would be documented and decisions would be transferred. Those activities consumed the same first-year money and working time as the future arrangement. The phased plan needed to show when a person became available, when a check could be retired and what would happen if the expected condition failed. A stopping condition mattered because continuing a stage without the required evidence could use the remaining budget while making the next commitment harder to withdraw. Rao had circled the part of the proposal where the people would actually have to live through the change.</t>
        </is>
      </c>
    </row>
    <row r="38" ht="370" customHeight="1">
      <c r="A38" s="7" t="inlineStr">
        <is>
          <t>P190</t>
        </is>
      </c>
      <c r="B38" s="12" t="inlineStr">
        <is>
          <t>P190  The team revised the first-year proposal. One office had to relinquish an approval, another had to fund a backfill, and managers had to release people for practice. The budget constraint made those commitments visible. It did not tell Rao which one could be postponed safely.
Relinquishing an approval, funding a backfill and releasing a learner were decisions by different owners, but the proposed next step could depend on all three. One manager completing a commitment while another deferred theirs might leave a paid specialist waiting or an employee moved without safe service cover. The budget could make the trade-off visible without selecting it automatically. Rao needed to know which commitments had to become effective together and which could be sequenced, so that the plan’s apparent affordability did not depend on somebody absorbing an unfunded gap.
The veto in the margin</t>
        </is>
      </c>
    </row>
    <row r="39" ht="370" customHeight="1">
      <c r="A39" s="7" t="inlineStr">
        <is>
          <t>P207</t>
        </is>
      </c>
      <c r="B39" s="12" t="inlineStr">
        <is>
          <t>P207  The team went back to the five records Rao had placed on the table. The answer could no longer be a neat diagram of roles. It needed a sequence: a decision boundary that survived a sponsor change; safe coverage for legacy service; a job whose promised scope matched its authority; protected practice and fair entry into visible work; measures that made prudent delay and customer harm legible; a route for concerns to alter a decision; and a credible way to pause expansion if those conditions failed.
The revised sequence had to work in one actual week. Meera could not be in protected practice and still be the assumed first response for every service exception. Farah could not supervise that practice and be assessed as though the supervision used no time. A product owner could not promise a release while a broad, untimed veto remained open. A customer could not wait for the committee’s normal cycle if its crew needed an answer sooner. Placing a paragraph on learning, rewards, authority and wellbeing in the same report would not reconcile those commitments. The plan had to show which work changed, who accepted the change and what would happen when the conditions did not hold.</t>
        </is>
      </c>
    </row>
    <row r="40" ht="370" customHeight="1">
      <c r="A40" s="7" t="inlineStr">
        <is>
          <t>P208</t>
        </is>
      </c>
      <c r="B40" s="12" t="inlineStr">
        <is>
          <t>P208  Finance asked for costs. The team separated one-time transition costs from ongoing staffing, identified dependencies that needed parent-company commitment, and withdrew savings that had been booked before old work could stop. Its total was less attractive than the previous version. It was also more believable. Rao noted that the next board might reject a plan that admitted uncertainty. The customer incident arriving Thursday evening would test whether a confident but incomplete plan had been any safer. The revised sheet gave the board three columns rather than one savings total: committed spending, contingent benefit and exposure if the safeguards failed. Omar refused to book a benefit merely because a cost had been removed from one unit. He asked where the work went, who would do it during transition, and when the claim could be tested.
Separating committed spending, contingent benefit and exposure prevented the plan from treating three different financial statements as one result. Money for cover might be required immediately; savings from retiring a report depended on a successful test; an avoided customer loss remained uncertain unless the facts established it. Omar’s question about where work went also guarded against a local saving created by moving duties into another team’s unchanged budget. The revised total was less attractive partly because it no longer treated other people’s capacity and untested benefits as resources already available to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2026-10-18T12:54:16Z</dcterms:created>
  <dcterms:modified xmlns:dcterms="http://purl.org/dc/terms/" xmlns:xsi="http://www.w3.org/2001/XMLSchema-instance" xsi:type="dcterms:W3CDTF">2026-10-18T12:54:52Z</dcterms:modified>
</cp:coreProperties>
</file>